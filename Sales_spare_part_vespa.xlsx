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r\spare_part_vespa_excel\"/>
    </mc:Choice>
  </mc:AlternateContent>
  <xr:revisionPtr revIDLastSave="0" documentId="13_ncr:1_{3633BA15-8824-44C5-848E-B2C05AE7DC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12" r:id="rId1"/>
    <sheet name="penjualan" sheetId="1" r:id="rId2"/>
    <sheet name="pareto_analysis" sheetId="9" r:id="rId3"/>
    <sheet name="Sheet2" sheetId="10" r:id="rId4"/>
  </sheets>
  <definedNames>
    <definedName name="_xlnm._FilterDatabase" localSheetId="1" hidden="1">penjualan!$A$1:$F$425</definedName>
    <definedName name="_xlnm._FilterDatabase" localSheetId="3" hidden="1">Sheet2!$A$2:$E$223</definedName>
  </definedNames>
  <calcPr calcId="191029"/>
  <pivotCaches>
    <pivotCache cacheId="0" r:id="rId5"/>
    <pivotCache cacheId="12" r:id="rId6"/>
  </pivotCaches>
</workbook>
</file>

<file path=xl/calcChain.xml><?xml version="1.0" encoding="utf-8"?>
<calcChain xmlns="http://schemas.openxmlformats.org/spreadsheetml/2006/main">
  <c r="H3" i="10" l="1"/>
  <c r="G3" i="10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4" i="9"/>
  <c r="H425" i="1"/>
  <c r="G425" i="1"/>
  <c r="D425" i="1"/>
  <c r="H424" i="1"/>
  <c r="G424" i="1"/>
  <c r="D424" i="1"/>
  <c r="H423" i="1"/>
  <c r="G423" i="1"/>
  <c r="D423" i="1"/>
  <c r="H422" i="1"/>
  <c r="G422" i="1"/>
  <c r="D422" i="1"/>
  <c r="H421" i="1"/>
  <c r="G421" i="1"/>
  <c r="D421" i="1"/>
  <c r="H420" i="1"/>
  <c r="G420" i="1"/>
  <c r="D420" i="1"/>
  <c r="H419" i="1"/>
  <c r="G419" i="1"/>
  <c r="D419" i="1"/>
  <c r="H418" i="1"/>
  <c r="G418" i="1"/>
  <c r="D418" i="1"/>
  <c r="H417" i="1"/>
  <c r="G417" i="1"/>
  <c r="D417" i="1"/>
  <c r="H416" i="1"/>
  <c r="G416" i="1"/>
  <c r="D416" i="1"/>
  <c r="H415" i="1"/>
  <c r="G415" i="1"/>
  <c r="D415" i="1"/>
  <c r="H414" i="1"/>
  <c r="G414" i="1"/>
  <c r="D414" i="1"/>
  <c r="H413" i="1"/>
  <c r="G413" i="1"/>
  <c r="D413" i="1"/>
  <c r="H412" i="1"/>
  <c r="G412" i="1"/>
  <c r="D412" i="1"/>
  <c r="H411" i="1"/>
  <c r="G411" i="1"/>
  <c r="D411" i="1"/>
  <c r="H410" i="1"/>
  <c r="G410" i="1"/>
  <c r="D410" i="1"/>
  <c r="H409" i="1"/>
  <c r="G409" i="1"/>
  <c r="D409" i="1"/>
  <c r="H408" i="1"/>
  <c r="G408" i="1"/>
  <c r="D408" i="1"/>
  <c r="H407" i="1"/>
  <c r="G407" i="1"/>
  <c r="D407" i="1"/>
  <c r="H406" i="1"/>
  <c r="G406" i="1"/>
  <c r="D406" i="1"/>
  <c r="H405" i="1"/>
  <c r="G405" i="1"/>
  <c r="D405" i="1"/>
  <c r="H404" i="1"/>
  <c r="G404" i="1"/>
  <c r="D404" i="1"/>
  <c r="H403" i="1"/>
  <c r="G403" i="1"/>
  <c r="D403" i="1"/>
  <c r="H402" i="1"/>
  <c r="G402" i="1"/>
  <c r="D402" i="1"/>
  <c r="H401" i="1"/>
  <c r="G401" i="1"/>
  <c r="D401" i="1"/>
  <c r="H400" i="1"/>
  <c r="G400" i="1"/>
  <c r="D400" i="1"/>
  <c r="H399" i="1"/>
  <c r="G399" i="1"/>
  <c r="D399" i="1"/>
  <c r="H398" i="1"/>
  <c r="G398" i="1"/>
  <c r="D398" i="1"/>
  <c r="H397" i="1"/>
  <c r="G397" i="1"/>
  <c r="D397" i="1"/>
  <c r="H396" i="1"/>
  <c r="G396" i="1"/>
  <c r="D396" i="1"/>
  <c r="H395" i="1"/>
  <c r="G395" i="1"/>
  <c r="D395" i="1"/>
  <c r="H394" i="1"/>
  <c r="G394" i="1"/>
  <c r="D394" i="1"/>
  <c r="H393" i="1"/>
  <c r="G393" i="1"/>
  <c r="D393" i="1"/>
  <c r="H392" i="1"/>
  <c r="G392" i="1"/>
  <c r="D392" i="1"/>
  <c r="H391" i="1"/>
  <c r="G391" i="1"/>
  <c r="D391" i="1"/>
  <c r="H390" i="1"/>
  <c r="G390" i="1"/>
  <c r="D390" i="1"/>
  <c r="H389" i="1"/>
  <c r="G389" i="1"/>
  <c r="D389" i="1"/>
  <c r="H388" i="1"/>
  <c r="G388" i="1"/>
  <c r="D388" i="1"/>
  <c r="H387" i="1"/>
  <c r="G387" i="1"/>
  <c r="D387" i="1"/>
  <c r="H386" i="1"/>
  <c r="G386" i="1"/>
  <c r="D386" i="1"/>
  <c r="H385" i="1"/>
  <c r="G385" i="1"/>
  <c r="D385" i="1"/>
  <c r="H384" i="1"/>
  <c r="G384" i="1"/>
  <c r="D384" i="1"/>
  <c r="H383" i="1"/>
  <c r="G383" i="1"/>
  <c r="D383" i="1"/>
  <c r="H382" i="1"/>
  <c r="G382" i="1"/>
  <c r="D382" i="1"/>
  <c r="H381" i="1"/>
  <c r="G381" i="1"/>
  <c r="D381" i="1"/>
  <c r="H380" i="1"/>
  <c r="G380" i="1"/>
  <c r="D380" i="1"/>
  <c r="H379" i="1"/>
  <c r="G379" i="1"/>
  <c r="D379" i="1"/>
  <c r="H378" i="1"/>
  <c r="G378" i="1"/>
  <c r="D378" i="1"/>
  <c r="H377" i="1"/>
  <c r="G377" i="1"/>
  <c r="D377" i="1"/>
  <c r="H376" i="1"/>
  <c r="G376" i="1"/>
  <c r="D376" i="1"/>
  <c r="H375" i="1"/>
  <c r="G375" i="1"/>
  <c r="D375" i="1"/>
  <c r="H374" i="1"/>
  <c r="G374" i="1"/>
  <c r="D374" i="1"/>
  <c r="H373" i="1"/>
  <c r="G373" i="1"/>
  <c r="D373" i="1"/>
  <c r="H372" i="1"/>
  <c r="G372" i="1"/>
  <c r="D372" i="1"/>
  <c r="H371" i="1"/>
  <c r="G371" i="1"/>
  <c r="D371" i="1"/>
  <c r="H370" i="1"/>
  <c r="G370" i="1"/>
  <c r="D370" i="1"/>
  <c r="H369" i="1"/>
  <c r="G369" i="1"/>
  <c r="D369" i="1"/>
  <c r="H368" i="1"/>
  <c r="G368" i="1"/>
  <c r="D368" i="1"/>
  <c r="H367" i="1"/>
  <c r="G367" i="1"/>
  <c r="D367" i="1"/>
  <c r="H366" i="1"/>
  <c r="G366" i="1"/>
  <c r="D366" i="1"/>
  <c r="H365" i="1"/>
  <c r="G365" i="1"/>
  <c r="D365" i="1"/>
  <c r="H364" i="1"/>
  <c r="G364" i="1"/>
  <c r="D364" i="1"/>
  <c r="H363" i="1"/>
  <c r="G363" i="1"/>
  <c r="D363" i="1"/>
  <c r="H362" i="1"/>
  <c r="G362" i="1"/>
  <c r="D362" i="1"/>
  <c r="H361" i="1"/>
  <c r="G361" i="1"/>
  <c r="D361" i="1"/>
  <c r="H360" i="1"/>
  <c r="G360" i="1"/>
  <c r="D360" i="1"/>
  <c r="H359" i="1"/>
  <c r="G359" i="1"/>
  <c r="D359" i="1"/>
  <c r="H358" i="1"/>
  <c r="G358" i="1"/>
  <c r="D358" i="1"/>
  <c r="H357" i="1"/>
  <c r="G357" i="1"/>
  <c r="D357" i="1"/>
  <c r="H356" i="1"/>
  <c r="G356" i="1"/>
  <c r="D356" i="1"/>
  <c r="H355" i="1"/>
  <c r="G355" i="1"/>
  <c r="D355" i="1"/>
  <c r="H354" i="1"/>
  <c r="G354" i="1"/>
  <c r="D354" i="1"/>
  <c r="H353" i="1"/>
  <c r="G353" i="1"/>
  <c r="D353" i="1"/>
  <c r="H352" i="1"/>
  <c r="G352" i="1"/>
  <c r="D352" i="1"/>
  <c r="H351" i="1"/>
  <c r="G351" i="1"/>
  <c r="D351" i="1"/>
  <c r="H350" i="1"/>
  <c r="G350" i="1"/>
  <c r="D350" i="1"/>
  <c r="H349" i="1"/>
  <c r="G349" i="1"/>
  <c r="D349" i="1"/>
  <c r="H348" i="1"/>
  <c r="G348" i="1"/>
  <c r="D348" i="1"/>
  <c r="H347" i="1"/>
  <c r="G347" i="1"/>
  <c r="D347" i="1"/>
  <c r="H346" i="1"/>
  <c r="G346" i="1"/>
  <c r="D346" i="1"/>
  <c r="H345" i="1"/>
  <c r="G345" i="1"/>
  <c r="D345" i="1"/>
  <c r="H344" i="1"/>
  <c r="G344" i="1"/>
  <c r="D344" i="1"/>
  <c r="H343" i="1"/>
  <c r="G343" i="1"/>
  <c r="D343" i="1"/>
  <c r="H342" i="1"/>
  <c r="G342" i="1"/>
  <c r="D342" i="1"/>
  <c r="H341" i="1"/>
  <c r="G341" i="1"/>
  <c r="D341" i="1"/>
  <c r="H340" i="1"/>
  <c r="G340" i="1"/>
  <c r="D340" i="1"/>
  <c r="H339" i="1"/>
  <c r="G339" i="1"/>
  <c r="D339" i="1"/>
  <c r="H338" i="1"/>
  <c r="G338" i="1"/>
  <c r="D338" i="1"/>
  <c r="H337" i="1"/>
  <c r="G337" i="1"/>
  <c r="D337" i="1"/>
  <c r="H336" i="1"/>
  <c r="G336" i="1"/>
  <c r="D336" i="1"/>
  <c r="H335" i="1"/>
  <c r="G335" i="1"/>
  <c r="D335" i="1"/>
  <c r="H334" i="1"/>
  <c r="G334" i="1"/>
  <c r="D334" i="1"/>
  <c r="H333" i="1"/>
  <c r="G333" i="1"/>
  <c r="D333" i="1"/>
  <c r="H332" i="1"/>
  <c r="G332" i="1"/>
  <c r="D332" i="1"/>
  <c r="H331" i="1"/>
  <c r="G331" i="1"/>
  <c r="D331" i="1"/>
  <c r="H330" i="1"/>
  <c r="G330" i="1"/>
  <c r="D330" i="1"/>
  <c r="H329" i="1"/>
  <c r="G329" i="1"/>
  <c r="D329" i="1"/>
  <c r="H328" i="1"/>
  <c r="G328" i="1"/>
  <c r="D328" i="1"/>
  <c r="H327" i="1"/>
  <c r="G327" i="1"/>
  <c r="D327" i="1"/>
  <c r="H326" i="1"/>
  <c r="G326" i="1"/>
  <c r="D326" i="1"/>
  <c r="H325" i="1"/>
  <c r="G325" i="1"/>
  <c r="D325" i="1"/>
  <c r="H324" i="1"/>
  <c r="G324" i="1"/>
  <c r="D324" i="1"/>
  <c r="H323" i="1"/>
  <c r="G323" i="1"/>
  <c r="D323" i="1"/>
  <c r="H322" i="1"/>
  <c r="G322" i="1"/>
  <c r="D322" i="1"/>
  <c r="H321" i="1"/>
  <c r="G321" i="1"/>
  <c r="D321" i="1"/>
  <c r="H320" i="1"/>
  <c r="G320" i="1"/>
  <c r="D320" i="1"/>
  <c r="H319" i="1"/>
  <c r="G319" i="1"/>
  <c r="D319" i="1"/>
  <c r="H318" i="1"/>
  <c r="G318" i="1"/>
  <c r="D318" i="1"/>
  <c r="H317" i="1"/>
  <c r="G317" i="1"/>
  <c r="D317" i="1"/>
  <c r="H316" i="1"/>
  <c r="G316" i="1"/>
  <c r="D316" i="1"/>
  <c r="H315" i="1"/>
  <c r="G315" i="1"/>
  <c r="D315" i="1"/>
  <c r="H314" i="1"/>
  <c r="G314" i="1"/>
  <c r="D314" i="1"/>
  <c r="H313" i="1"/>
  <c r="G313" i="1"/>
  <c r="D313" i="1"/>
  <c r="H312" i="1"/>
  <c r="G312" i="1"/>
  <c r="D312" i="1"/>
  <c r="H311" i="1"/>
  <c r="G311" i="1"/>
  <c r="D311" i="1"/>
  <c r="H310" i="1"/>
  <c r="G310" i="1"/>
  <c r="D310" i="1"/>
  <c r="H309" i="1"/>
  <c r="G309" i="1"/>
  <c r="D309" i="1"/>
  <c r="H308" i="1"/>
  <c r="G308" i="1"/>
  <c r="D308" i="1"/>
  <c r="H307" i="1"/>
  <c r="G307" i="1"/>
  <c r="D307" i="1"/>
  <c r="H306" i="1"/>
  <c r="G306" i="1"/>
  <c r="D306" i="1"/>
  <c r="H305" i="1"/>
  <c r="G305" i="1"/>
  <c r="D305" i="1"/>
  <c r="H304" i="1"/>
  <c r="G304" i="1"/>
  <c r="D304" i="1"/>
  <c r="H303" i="1"/>
  <c r="G303" i="1"/>
  <c r="D303" i="1"/>
  <c r="H302" i="1"/>
  <c r="G302" i="1"/>
  <c r="D302" i="1"/>
  <c r="H301" i="1"/>
  <c r="G301" i="1"/>
  <c r="D301" i="1"/>
  <c r="H300" i="1"/>
  <c r="G300" i="1"/>
  <c r="D300" i="1"/>
  <c r="H299" i="1"/>
  <c r="G299" i="1"/>
  <c r="D299" i="1"/>
  <c r="H298" i="1"/>
  <c r="G298" i="1"/>
  <c r="D298" i="1"/>
  <c r="H297" i="1"/>
  <c r="G297" i="1"/>
  <c r="D297" i="1"/>
  <c r="H296" i="1"/>
  <c r="G296" i="1"/>
  <c r="D296" i="1"/>
  <c r="H295" i="1"/>
  <c r="G295" i="1"/>
  <c r="D295" i="1"/>
  <c r="H294" i="1"/>
  <c r="G294" i="1"/>
  <c r="D294" i="1"/>
  <c r="H293" i="1"/>
  <c r="G293" i="1"/>
  <c r="D293" i="1"/>
  <c r="H292" i="1"/>
  <c r="G292" i="1"/>
  <c r="D292" i="1"/>
  <c r="H291" i="1"/>
  <c r="G291" i="1"/>
  <c r="D291" i="1"/>
  <c r="H290" i="1"/>
  <c r="G290" i="1"/>
  <c r="D290" i="1"/>
  <c r="H289" i="1"/>
  <c r="G289" i="1"/>
  <c r="D289" i="1"/>
  <c r="H288" i="1"/>
  <c r="G288" i="1"/>
  <c r="D288" i="1"/>
  <c r="H287" i="1"/>
  <c r="G287" i="1"/>
  <c r="D287" i="1"/>
  <c r="H286" i="1"/>
  <c r="G286" i="1"/>
  <c r="D286" i="1"/>
  <c r="H285" i="1"/>
  <c r="G285" i="1"/>
  <c r="D285" i="1"/>
  <c r="H284" i="1"/>
  <c r="G284" i="1"/>
  <c r="D284" i="1"/>
  <c r="H283" i="1"/>
  <c r="G283" i="1"/>
  <c r="D283" i="1"/>
  <c r="H282" i="1"/>
  <c r="G282" i="1"/>
  <c r="D282" i="1"/>
  <c r="H281" i="1"/>
  <c r="G281" i="1"/>
  <c r="D281" i="1"/>
  <c r="H280" i="1"/>
  <c r="G280" i="1"/>
  <c r="D280" i="1"/>
  <c r="H279" i="1"/>
  <c r="G279" i="1"/>
  <c r="D279" i="1"/>
  <c r="H278" i="1"/>
  <c r="G278" i="1"/>
  <c r="D278" i="1"/>
  <c r="H277" i="1"/>
  <c r="G277" i="1"/>
  <c r="D277" i="1"/>
  <c r="H276" i="1"/>
  <c r="G276" i="1"/>
  <c r="D276" i="1"/>
  <c r="H275" i="1"/>
  <c r="G275" i="1"/>
  <c r="D275" i="1"/>
  <c r="H274" i="1"/>
  <c r="G274" i="1"/>
  <c r="D274" i="1"/>
  <c r="H273" i="1"/>
  <c r="G273" i="1"/>
  <c r="D273" i="1"/>
  <c r="H272" i="1"/>
  <c r="G272" i="1"/>
  <c r="D272" i="1"/>
  <c r="H271" i="1"/>
  <c r="G271" i="1"/>
  <c r="D271" i="1"/>
  <c r="H270" i="1"/>
  <c r="G270" i="1"/>
  <c r="D270" i="1"/>
  <c r="H269" i="1"/>
  <c r="G269" i="1"/>
  <c r="D269" i="1"/>
  <c r="H268" i="1"/>
  <c r="G268" i="1"/>
  <c r="D268" i="1"/>
  <c r="H267" i="1"/>
  <c r="G267" i="1"/>
  <c r="D267" i="1"/>
  <c r="H266" i="1"/>
  <c r="G266" i="1"/>
  <c r="D266" i="1"/>
  <c r="H265" i="1"/>
  <c r="G265" i="1"/>
  <c r="D265" i="1"/>
  <c r="H264" i="1"/>
  <c r="G264" i="1"/>
  <c r="D264" i="1"/>
  <c r="H263" i="1"/>
  <c r="G263" i="1"/>
  <c r="D263" i="1"/>
  <c r="H262" i="1"/>
  <c r="G262" i="1"/>
  <c r="D262" i="1"/>
  <c r="H261" i="1"/>
  <c r="G261" i="1"/>
  <c r="D261" i="1"/>
  <c r="H260" i="1"/>
  <c r="G260" i="1"/>
  <c r="D260" i="1"/>
  <c r="H259" i="1"/>
  <c r="G259" i="1"/>
  <c r="D259" i="1"/>
  <c r="H258" i="1"/>
  <c r="G258" i="1"/>
  <c r="D258" i="1"/>
  <c r="H257" i="1"/>
  <c r="G257" i="1"/>
  <c r="D257" i="1"/>
  <c r="H256" i="1"/>
  <c r="G256" i="1"/>
  <c r="D256" i="1"/>
  <c r="H255" i="1"/>
  <c r="G255" i="1"/>
  <c r="D255" i="1"/>
  <c r="H254" i="1"/>
  <c r="G254" i="1"/>
  <c r="D254" i="1"/>
  <c r="H253" i="1"/>
  <c r="G253" i="1"/>
  <c r="D253" i="1"/>
  <c r="H252" i="1"/>
  <c r="G252" i="1"/>
  <c r="D252" i="1"/>
  <c r="H251" i="1"/>
  <c r="G251" i="1"/>
  <c r="D251" i="1"/>
  <c r="H250" i="1"/>
  <c r="G250" i="1"/>
  <c r="D250" i="1"/>
  <c r="H249" i="1"/>
  <c r="G249" i="1"/>
  <c r="D249" i="1"/>
  <c r="H248" i="1"/>
  <c r="G248" i="1"/>
  <c r="D248" i="1"/>
  <c r="H247" i="1"/>
  <c r="G247" i="1"/>
  <c r="D247" i="1"/>
  <c r="H246" i="1"/>
  <c r="G246" i="1"/>
  <c r="D246" i="1"/>
  <c r="H245" i="1"/>
  <c r="G245" i="1"/>
  <c r="D245" i="1"/>
  <c r="H244" i="1"/>
  <c r="G244" i="1"/>
  <c r="D244" i="1"/>
  <c r="H243" i="1"/>
  <c r="G243" i="1"/>
  <c r="D243" i="1"/>
  <c r="H242" i="1"/>
  <c r="G242" i="1"/>
  <c r="D242" i="1"/>
  <c r="H241" i="1"/>
  <c r="G241" i="1"/>
  <c r="D241" i="1"/>
  <c r="H240" i="1"/>
  <c r="G240" i="1"/>
  <c r="D240" i="1"/>
  <c r="H239" i="1"/>
  <c r="G239" i="1"/>
  <c r="D239" i="1"/>
  <c r="H238" i="1"/>
  <c r="G238" i="1"/>
  <c r="D238" i="1"/>
  <c r="H237" i="1"/>
  <c r="G237" i="1"/>
  <c r="D237" i="1"/>
  <c r="H236" i="1"/>
  <c r="G236" i="1"/>
  <c r="D236" i="1"/>
  <c r="H235" i="1"/>
  <c r="G235" i="1"/>
  <c r="D235" i="1"/>
  <c r="H234" i="1"/>
  <c r="G234" i="1"/>
  <c r="D234" i="1"/>
  <c r="H233" i="1"/>
  <c r="G233" i="1"/>
  <c r="D233" i="1"/>
  <c r="H232" i="1"/>
  <c r="G232" i="1"/>
  <c r="D232" i="1"/>
  <c r="H231" i="1"/>
  <c r="G231" i="1"/>
  <c r="D231" i="1"/>
  <c r="H230" i="1"/>
  <c r="G230" i="1"/>
  <c r="D230" i="1"/>
  <c r="H229" i="1"/>
  <c r="G229" i="1"/>
  <c r="D229" i="1"/>
  <c r="H228" i="1"/>
  <c r="G228" i="1"/>
  <c r="D228" i="1"/>
  <c r="H227" i="1"/>
  <c r="G227" i="1"/>
  <c r="D227" i="1"/>
  <c r="H226" i="1"/>
  <c r="G226" i="1"/>
  <c r="D226" i="1"/>
  <c r="H225" i="1"/>
  <c r="G225" i="1"/>
  <c r="D225" i="1"/>
  <c r="H224" i="1"/>
  <c r="G224" i="1"/>
  <c r="D224" i="1"/>
  <c r="H223" i="1"/>
  <c r="G223" i="1"/>
  <c r="D223" i="1"/>
  <c r="H222" i="1"/>
  <c r="G222" i="1"/>
  <c r="D222" i="1"/>
  <c r="H221" i="1"/>
  <c r="G221" i="1"/>
  <c r="D221" i="1"/>
  <c r="H220" i="1"/>
  <c r="G220" i="1"/>
  <c r="D220" i="1"/>
  <c r="H219" i="1"/>
  <c r="G219" i="1"/>
  <c r="D219" i="1"/>
  <c r="H218" i="1"/>
  <c r="G218" i="1"/>
  <c r="D218" i="1"/>
  <c r="H217" i="1"/>
  <c r="G217" i="1"/>
  <c r="D217" i="1"/>
  <c r="H216" i="1"/>
  <c r="G216" i="1"/>
  <c r="D216" i="1"/>
  <c r="H215" i="1"/>
  <c r="G215" i="1"/>
  <c r="D215" i="1"/>
  <c r="H214" i="1"/>
  <c r="G214" i="1"/>
  <c r="D214" i="1"/>
  <c r="H213" i="1"/>
  <c r="G213" i="1"/>
  <c r="D213" i="1"/>
  <c r="H212" i="1"/>
  <c r="G212" i="1"/>
  <c r="D212" i="1"/>
  <c r="H211" i="1"/>
  <c r="G211" i="1"/>
  <c r="D211" i="1"/>
  <c r="H210" i="1"/>
  <c r="G210" i="1"/>
  <c r="D210" i="1"/>
  <c r="H209" i="1"/>
  <c r="G209" i="1"/>
  <c r="D209" i="1"/>
  <c r="H208" i="1"/>
  <c r="G208" i="1"/>
  <c r="D208" i="1"/>
  <c r="H207" i="1"/>
  <c r="G207" i="1"/>
  <c r="D207" i="1"/>
  <c r="H206" i="1"/>
  <c r="G206" i="1"/>
  <c r="D206" i="1"/>
  <c r="H205" i="1"/>
  <c r="G205" i="1"/>
  <c r="D205" i="1"/>
  <c r="H204" i="1"/>
  <c r="G204" i="1"/>
  <c r="D204" i="1"/>
  <c r="H203" i="1"/>
  <c r="G203" i="1"/>
  <c r="D203" i="1"/>
  <c r="H202" i="1"/>
  <c r="G202" i="1"/>
  <c r="D202" i="1"/>
  <c r="H201" i="1"/>
  <c r="G201" i="1"/>
  <c r="D201" i="1"/>
  <c r="H200" i="1"/>
  <c r="G200" i="1"/>
  <c r="D200" i="1"/>
  <c r="H199" i="1"/>
  <c r="G199" i="1"/>
  <c r="D199" i="1"/>
  <c r="H198" i="1"/>
  <c r="G198" i="1"/>
  <c r="D198" i="1"/>
  <c r="H197" i="1"/>
  <c r="G197" i="1"/>
  <c r="D197" i="1"/>
  <c r="H196" i="1"/>
  <c r="G196" i="1"/>
  <c r="D196" i="1"/>
  <c r="H195" i="1"/>
  <c r="G195" i="1"/>
  <c r="D195" i="1"/>
  <c r="H194" i="1"/>
  <c r="G194" i="1"/>
  <c r="D194" i="1"/>
  <c r="H193" i="1"/>
  <c r="G193" i="1"/>
  <c r="D193" i="1"/>
  <c r="H192" i="1"/>
  <c r="G192" i="1"/>
  <c r="D192" i="1"/>
  <c r="H191" i="1"/>
  <c r="G191" i="1"/>
  <c r="D191" i="1"/>
  <c r="H190" i="1"/>
  <c r="G190" i="1"/>
  <c r="D190" i="1"/>
  <c r="H189" i="1"/>
  <c r="G189" i="1"/>
  <c r="D189" i="1"/>
  <c r="H188" i="1"/>
  <c r="G188" i="1"/>
  <c r="D188" i="1"/>
  <c r="H187" i="1"/>
  <c r="G187" i="1"/>
  <c r="D187" i="1"/>
  <c r="H186" i="1"/>
  <c r="G186" i="1"/>
  <c r="D186" i="1"/>
  <c r="H185" i="1"/>
  <c r="G185" i="1"/>
  <c r="D185" i="1"/>
  <c r="H184" i="1"/>
  <c r="G184" i="1"/>
  <c r="D184" i="1"/>
  <c r="H183" i="1"/>
  <c r="G183" i="1"/>
  <c r="D183" i="1"/>
  <c r="H182" i="1"/>
  <c r="G182" i="1"/>
  <c r="D182" i="1"/>
  <c r="H181" i="1"/>
  <c r="G181" i="1"/>
  <c r="D181" i="1"/>
  <c r="H180" i="1"/>
  <c r="G180" i="1"/>
  <c r="D180" i="1"/>
  <c r="H179" i="1"/>
  <c r="G179" i="1"/>
  <c r="D179" i="1"/>
  <c r="H178" i="1"/>
  <c r="G178" i="1"/>
  <c r="D178" i="1"/>
  <c r="H177" i="1"/>
  <c r="G177" i="1"/>
  <c r="D177" i="1"/>
  <c r="H176" i="1"/>
  <c r="G176" i="1"/>
  <c r="D176" i="1"/>
  <c r="H175" i="1"/>
  <c r="G175" i="1"/>
  <c r="D175" i="1"/>
  <c r="H174" i="1"/>
  <c r="G174" i="1"/>
  <c r="D174" i="1"/>
  <c r="H173" i="1"/>
  <c r="G173" i="1"/>
  <c r="D173" i="1"/>
  <c r="H172" i="1"/>
  <c r="G172" i="1"/>
  <c r="D172" i="1"/>
  <c r="H171" i="1"/>
  <c r="G171" i="1"/>
  <c r="D171" i="1"/>
  <c r="H170" i="1"/>
  <c r="G170" i="1"/>
  <c r="D170" i="1"/>
  <c r="H169" i="1"/>
  <c r="G169" i="1"/>
  <c r="D169" i="1"/>
  <c r="H168" i="1"/>
  <c r="G168" i="1"/>
  <c r="D168" i="1"/>
  <c r="H167" i="1"/>
  <c r="G167" i="1"/>
  <c r="D167" i="1"/>
  <c r="H166" i="1"/>
  <c r="G166" i="1"/>
  <c r="D166" i="1"/>
  <c r="H165" i="1"/>
  <c r="G165" i="1"/>
  <c r="D165" i="1"/>
  <c r="H164" i="1"/>
  <c r="G164" i="1"/>
  <c r="D164" i="1"/>
  <c r="H163" i="1"/>
  <c r="G163" i="1"/>
  <c r="D163" i="1"/>
  <c r="H162" i="1"/>
  <c r="G162" i="1"/>
  <c r="D162" i="1"/>
  <c r="H161" i="1"/>
  <c r="G161" i="1"/>
  <c r="D161" i="1"/>
  <c r="H160" i="1"/>
  <c r="G160" i="1"/>
  <c r="D160" i="1"/>
  <c r="H159" i="1"/>
  <c r="G159" i="1"/>
  <c r="D159" i="1"/>
  <c r="H158" i="1"/>
  <c r="G158" i="1"/>
  <c r="D158" i="1"/>
  <c r="H157" i="1"/>
  <c r="G157" i="1"/>
  <c r="D157" i="1"/>
  <c r="H156" i="1"/>
  <c r="G156" i="1"/>
  <c r="D156" i="1"/>
  <c r="H155" i="1"/>
  <c r="G155" i="1"/>
  <c r="D155" i="1"/>
  <c r="H154" i="1"/>
  <c r="G154" i="1"/>
  <c r="D154" i="1"/>
  <c r="H153" i="1"/>
  <c r="G153" i="1"/>
  <c r="D153" i="1"/>
  <c r="H152" i="1"/>
  <c r="G152" i="1"/>
  <c r="D152" i="1"/>
  <c r="H151" i="1"/>
  <c r="G151" i="1"/>
  <c r="D151" i="1"/>
  <c r="H150" i="1"/>
  <c r="G150" i="1"/>
  <c r="D150" i="1"/>
  <c r="H149" i="1"/>
  <c r="G149" i="1"/>
  <c r="D149" i="1"/>
  <c r="H148" i="1"/>
  <c r="G148" i="1"/>
  <c r="D148" i="1"/>
  <c r="H147" i="1"/>
  <c r="G147" i="1"/>
  <c r="D147" i="1"/>
  <c r="H146" i="1"/>
  <c r="G146" i="1"/>
  <c r="D146" i="1"/>
  <c r="H145" i="1"/>
  <c r="G145" i="1"/>
  <c r="D145" i="1"/>
  <c r="H144" i="1"/>
  <c r="G144" i="1"/>
  <c r="D144" i="1"/>
  <c r="H143" i="1"/>
  <c r="G143" i="1"/>
  <c r="D143" i="1"/>
  <c r="H142" i="1"/>
  <c r="G142" i="1"/>
  <c r="D142" i="1"/>
  <c r="H141" i="1"/>
  <c r="G141" i="1"/>
  <c r="D141" i="1"/>
  <c r="H140" i="1"/>
  <c r="G140" i="1"/>
  <c r="D140" i="1"/>
  <c r="H139" i="1"/>
  <c r="G139" i="1"/>
  <c r="D139" i="1"/>
  <c r="H138" i="1"/>
  <c r="G138" i="1"/>
  <c r="D138" i="1"/>
  <c r="H137" i="1"/>
  <c r="G137" i="1"/>
  <c r="D137" i="1"/>
  <c r="H136" i="1"/>
  <c r="G136" i="1"/>
  <c r="D136" i="1"/>
  <c r="H135" i="1"/>
  <c r="G135" i="1"/>
  <c r="D135" i="1"/>
  <c r="H134" i="1"/>
  <c r="G134" i="1"/>
  <c r="D134" i="1"/>
  <c r="H133" i="1"/>
  <c r="G133" i="1"/>
  <c r="D133" i="1"/>
  <c r="H132" i="1"/>
  <c r="G132" i="1"/>
  <c r="D132" i="1"/>
  <c r="H131" i="1"/>
  <c r="G131" i="1"/>
  <c r="D131" i="1"/>
  <c r="H130" i="1"/>
  <c r="G130" i="1"/>
  <c r="D130" i="1"/>
  <c r="H129" i="1"/>
  <c r="G129" i="1"/>
  <c r="D129" i="1"/>
  <c r="H128" i="1"/>
  <c r="G128" i="1"/>
  <c r="D128" i="1"/>
  <c r="H127" i="1"/>
  <c r="G127" i="1"/>
  <c r="D127" i="1"/>
  <c r="H126" i="1"/>
  <c r="G126" i="1"/>
  <c r="D126" i="1"/>
  <c r="H125" i="1"/>
  <c r="G125" i="1"/>
  <c r="D125" i="1"/>
  <c r="H124" i="1"/>
  <c r="G124" i="1"/>
  <c r="D124" i="1"/>
  <c r="H123" i="1"/>
  <c r="G123" i="1"/>
  <c r="D123" i="1"/>
  <c r="H122" i="1"/>
  <c r="G122" i="1"/>
  <c r="D122" i="1"/>
  <c r="H121" i="1"/>
  <c r="G121" i="1"/>
  <c r="D121" i="1"/>
  <c r="H120" i="1"/>
  <c r="G120" i="1"/>
  <c r="D120" i="1"/>
  <c r="H119" i="1"/>
  <c r="G119" i="1"/>
  <c r="D119" i="1"/>
  <c r="H118" i="1"/>
  <c r="G118" i="1"/>
  <c r="D118" i="1"/>
  <c r="H117" i="1"/>
  <c r="G117" i="1"/>
  <c r="D117" i="1"/>
  <c r="H116" i="1"/>
  <c r="G116" i="1"/>
  <c r="D116" i="1"/>
  <c r="H115" i="1"/>
  <c r="G115" i="1"/>
  <c r="D115" i="1"/>
  <c r="H114" i="1"/>
  <c r="G114" i="1"/>
  <c r="D114" i="1"/>
  <c r="H113" i="1"/>
  <c r="G113" i="1"/>
  <c r="D113" i="1"/>
  <c r="H112" i="1"/>
  <c r="G112" i="1"/>
  <c r="D112" i="1"/>
  <c r="H111" i="1"/>
  <c r="G111" i="1"/>
  <c r="D111" i="1"/>
  <c r="H110" i="1"/>
  <c r="G110" i="1"/>
  <c r="D110" i="1"/>
  <c r="H109" i="1"/>
  <c r="G109" i="1"/>
  <c r="D109" i="1"/>
  <c r="H108" i="1"/>
  <c r="G108" i="1"/>
  <c r="D108" i="1"/>
  <c r="H107" i="1"/>
  <c r="G107" i="1"/>
  <c r="D107" i="1"/>
  <c r="H106" i="1"/>
  <c r="G106" i="1"/>
  <c r="D106" i="1"/>
  <c r="H105" i="1"/>
  <c r="G105" i="1"/>
  <c r="D105" i="1"/>
  <c r="H104" i="1"/>
  <c r="G104" i="1"/>
  <c r="D104" i="1"/>
  <c r="H103" i="1"/>
  <c r="G103" i="1"/>
  <c r="D103" i="1"/>
  <c r="H102" i="1"/>
  <c r="G102" i="1"/>
  <c r="D102" i="1"/>
  <c r="H101" i="1"/>
  <c r="G101" i="1"/>
  <c r="D101" i="1"/>
  <c r="H100" i="1"/>
  <c r="G100" i="1"/>
  <c r="D100" i="1"/>
  <c r="H99" i="1"/>
  <c r="G99" i="1"/>
  <c r="D99" i="1"/>
  <c r="H98" i="1"/>
  <c r="G98" i="1"/>
  <c r="D98" i="1"/>
  <c r="H97" i="1"/>
  <c r="G97" i="1"/>
  <c r="D97" i="1"/>
  <c r="H96" i="1"/>
  <c r="G96" i="1"/>
  <c r="D96" i="1"/>
  <c r="H95" i="1"/>
  <c r="G95" i="1"/>
  <c r="D95" i="1"/>
  <c r="H94" i="1"/>
  <c r="G94" i="1"/>
  <c r="D94" i="1"/>
  <c r="H93" i="1"/>
  <c r="G93" i="1"/>
  <c r="D93" i="1"/>
  <c r="H92" i="1"/>
  <c r="G92" i="1"/>
  <c r="D92" i="1"/>
  <c r="H91" i="1"/>
  <c r="G91" i="1"/>
  <c r="D91" i="1"/>
  <c r="H90" i="1"/>
  <c r="G90" i="1"/>
  <c r="D90" i="1"/>
  <c r="H89" i="1"/>
  <c r="G89" i="1"/>
  <c r="D89" i="1"/>
  <c r="H88" i="1"/>
  <c r="G88" i="1"/>
  <c r="D88" i="1"/>
  <c r="H87" i="1"/>
  <c r="G87" i="1"/>
  <c r="D87" i="1"/>
  <c r="H86" i="1"/>
  <c r="G86" i="1"/>
  <c r="D86" i="1"/>
  <c r="H85" i="1"/>
  <c r="G85" i="1"/>
  <c r="D85" i="1"/>
  <c r="H84" i="1"/>
  <c r="G84" i="1"/>
  <c r="D84" i="1"/>
  <c r="H83" i="1"/>
  <c r="G83" i="1"/>
  <c r="D83" i="1"/>
  <c r="H82" i="1"/>
  <c r="G82" i="1"/>
  <c r="D82" i="1"/>
  <c r="H81" i="1"/>
  <c r="G81" i="1"/>
  <c r="D81" i="1"/>
  <c r="H80" i="1"/>
  <c r="G80" i="1"/>
  <c r="D80" i="1"/>
  <c r="H79" i="1"/>
  <c r="G79" i="1"/>
  <c r="D79" i="1"/>
  <c r="H78" i="1"/>
  <c r="G78" i="1"/>
  <c r="D78" i="1"/>
  <c r="H77" i="1"/>
  <c r="G77" i="1"/>
  <c r="D77" i="1"/>
  <c r="H76" i="1"/>
  <c r="G76" i="1"/>
  <c r="D76" i="1"/>
  <c r="H75" i="1"/>
  <c r="G75" i="1"/>
  <c r="D75" i="1"/>
  <c r="H74" i="1"/>
  <c r="G74" i="1"/>
  <c r="D74" i="1"/>
  <c r="H73" i="1"/>
  <c r="G73" i="1"/>
  <c r="D73" i="1"/>
  <c r="H72" i="1"/>
  <c r="G72" i="1"/>
  <c r="D72" i="1"/>
  <c r="H71" i="1"/>
  <c r="G71" i="1"/>
  <c r="D71" i="1"/>
  <c r="H70" i="1"/>
  <c r="G70" i="1"/>
  <c r="D70" i="1"/>
  <c r="H69" i="1"/>
  <c r="G69" i="1"/>
  <c r="D69" i="1"/>
  <c r="H68" i="1"/>
  <c r="G68" i="1"/>
  <c r="D68" i="1"/>
  <c r="H67" i="1"/>
  <c r="G67" i="1"/>
  <c r="D67" i="1"/>
  <c r="H66" i="1"/>
  <c r="G66" i="1"/>
  <c r="D66" i="1"/>
  <c r="H65" i="1"/>
  <c r="G65" i="1"/>
  <c r="D65" i="1"/>
  <c r="H64" i="1"/>
  <c r="G64" i="1"/>
  <c r="D64" i="1"/>
  <c r="H63" i="1"/>
  <c r="G63" i="1"/>
  <c r="D63" i="1"/>
  <c r="H62" i="1"/>
  <c r="G62" i="1"/>
  <c r="D62" i="1"/>
  <c r="H61" i="1"/>
  <c r="G61" i="1"/>
  <c r="D61" i="1"/>
  <c r="H60" i="1"/>
  <c r="G60" i="1"/>
  <c r="D60" i="1"/>
  <c r="H59" i="1"/>
  <c r="G59" i="1"/>
  <c r="D59" i="1"/>
  <c r="H58" i="1"/>
  <c r="G58" i="1"/>
  <c r="D58" i="1"/>
  <c r="H57" i="1"/>
  <c r="G57" i="1"/>
  <c r="D57" i="1"/>
  <c r="H56" i="1"/>
  <c r="G56" i="1"/>
  <c r="D56" i="1"/>
  <c r="H55" i="1"/>
  <c r="G55" i="1"/>
  <c r="D55" i="1"/>
  <c r="H54" i="1"/>
  <c r="G54" i="1"/>
  <c r="D54" i="1"/>
  <c r="H53" i="1"/>
  <c r="G53" i="1"/>
  <c r="D53" i="1"/>
  <c r="H52" i="1"/>
  <c r="G52" i="1"/>
  <c r="D52" i="1"/>
  <c r="H51" i="1"/>
  <c r="G51" i="1"/>
  <c r="D51" i="1"/>
  <c r="H50" i="1"/>
  <c r="G50" i="1"/>
  <c r="D50" i="1"/>
  <c r="H49" i="1"/>
  <c r="G49" i="1"/>
  <c r="D49" i="1"/>
  <c r="H48" i="1"/>
  <c r="G48" i="1"/>
  <c r="D48" i="1"/>
  <c r="H47" i="1"/>
  <c r="G47" i="1"/>
  <c r="D47" i="1"/>
  <c r="H46" i="1"/>
  <c r="G46" i="1"/>
  <c r="D46" i="1"/>
  <c r="H45" i="1"/>
  <c r="G45" i="1"/>
  <c r="D45" i="1"/>
  <c r="H44" i="1"/>
  <c r="G44" i="1"/>
  <c r="D44" i="1"/>
  <c r="H43" i="1"/>
  <c r="G43" i="1"/>
  <c r="D43" i="1"/>
  <c r="H42" i="1"/>
  <c r="G42" i="1"/>
  <c r="D42" i="1"/>
  <c r="H41" i="1"/>
  <c r="G41" i="1"/>
  <c r="D41" i="1"/>
  <c r="H40" i="1"/>
  <c r="G40" i="1"/>
  <c r="D40" i="1"/>
  <c r="H39" i="1"/>
  <c r="G39" i="1"/>
  <c r="D39" i="1"/>
  <c r="H38" i="1"/>
  <c r="G38" i="1"/>
  <c r="D38" i="1"/>
  <c r="H37" i="1"/>
  <c r="G37" i="1"/>
  <c r="D37" i="1"/>
  <c r="H36" i="1"/>
  <c r="G36" i="1"/>
  <c r="D36" i="1"/>
  <c r="H35" i="1"/>
  <c r="G35" i="1"/>
  <c r="D35" i="1"/>
  <c r="H34" i="1"/>
  <c r="G34" i="1"/>
  <c r="D34" i="1"/>
  <c r="H33" i="1"/>
  <c r="G33" i="1"/>
  <c r="D33" i="1"/>
  <c r="H32" i="1"/>
  <c r="G32" i="1"/>
  <c r="D32" i="1"/>
  <c r="H31" i="1"/>
  <c r="G31" i="1"/>
  <c r="D31" i="1"/>
  <c r="H30" i="1"/>
  <c r="G30" i="1"/>
  <c r="D30" i="1"/>
  <c r="H29" i="1"/>
  <c r="G29" i="1"/>
  <c r="D29" i="1"/>
  <c r="H28" i="1"/>
  <c r="G28" i="1"/>
  <c r="D28" i="1"/>
  <c r="H27" i="1"/>
  <c r="G27" i="1"/>
  <c r="D27" i="1"/>
  <c r="H26" i="1"/>
  <c r="G26" i="1"/>
  <c r="D26" i="1"/>
  <c r="H25" i="1"/>
  <c r="G25" i="1"/>
  <c r="D25" i="1"/>
  <c r="H24" i="1"/>
  <c r="G24" i="1"/>
  <c r="D24" i="1"/>
  <c r="H23" i="1"/>
  <c r="G23" i="1"/>
  <c r="D23" i="1"/>
  <c r="H22" i="1"/>
  <c r="G22" i="1"/>
  <c r="D22" i="1"/>
  <c r="H21" i="1"/>
  <c r="G21" i="1"/>
  <c r="D21" i="1"/>
  <c r="H20" i="1"/>
  <c r="G20" i="1"/>
  <c r="D20" i="1"/>
  <c r="H19" i="1"/>
  <c r="G19" i="1"/>
  <c r="D19" i="1"/>
  <c r="H18" i="1"/>
  <c r="G18" i="1"/>
  <c r="D18" i="1"/>
  <c r="H17" i="1"/>
  <c r="G17" i="1"/>
  <c r="D17" i="1"/>
  <c r="H16" i="1"/>
  <c r="G16" i="1"/>
  <c r="D16" i="1"/>
  <c r="H15" i="1"/>
  <c r="G15" i="1"/>
  <c r="D15" i="1"/>
  <c r="H14" i="1"/>
  <c r="G14" i="1"/>
  <c r="D14" i="1"/>
  <c r="H13" i="1"/>
  <c r="G13" i="1"/>
  <c r="D13" i="1"/>
  <c r="H12" i="1"/>
  <c r="G12" i="1"/>
  <c r="D12" i="1"/>
  <c r="H11" i="1"/>
  <c r="G11" i="1"/>
  <c r="D11" i="1"/>
  <c r="H10" i="1"/>
  <c r="G10" i="1"/>
  <c r="D10" i="1"/>
  <c r="H9" i="1"/>
  <c r="G9" i="1"/>
  <c r="D9" i="1"/>
  <c r="H8" i="1"/>
  <c r="G8" i="1"/>
  <c r="D8" i="1"/>
  <c r="H7" i="1"/>
  <c r="G7" i="1"/>
  <c r="D7" i="1"/>
  <c r="H6" i="1"/>
  <c r="G6" i="1"/>
  <c r="D6" i="1"/>
  <c r="H5" i="1"/>
  <c r="G5" i="1"/>
  <c r="D5" i="1"/>
  <c r="H4" i="1"/>
  <c r="G4" i="1"/>
  <c r="D4" i="1"/>
  <c r="H3" i="1"/>
  <c r="G3" i="1"/>
  <c r="D3" i="1"/>
  <c r="H2" i="1"/>
  <c r="G2" i="1"/>
  <c r="D2" i="1"/>
</calcChain>
</file>

<file path=xl/sharedStrings.xml><?xml version="1.0" encoding="utf-8"?>
<sst xmlns="http://schemas.openxmlformats.org/spreadsheetml/2006/main" count="1135" uniqueCount="257">
  <si>
    <t>tanggal</t>
  </si>
  <si>
    <t>nama_produk</t>
  </si>
  <si>
    <t>jumlah</t>
  </si>
  <si>
    <t>harga</t>
  </si>
  <si>
    <t>total_harga (Rp)</t>
  </si>
  <si>
    <t>Keterangan</t>
  </si>
  <si>
    <t>bulan</t>
  </si>
  <si>
    <t>hari_dalam_minggu</t>
  </si>
  <si>
    <t>Kabel Persneling</t>
  </si>
  <si>
    <t>Per Keong</t>
  </si>
  <si>
    <t>Oli Mesin</t>
  </si>
  <si>
    <t>Busi</t>
  </si>
  <si>
    <t>Parkit 105</t>
  </si>
  <si>
    <t>Spuyer</t>
  </si>
  <si>
    <t>Tf</t>
  </si>
  <si>
    <t>Kabel luar Vemsa</t>
  </si>
  <si>
    <t>Kabel persneling</t>
  </si>
  <si>
    <t>Kabel Kupling</t>
  </si>
  <si>
    <t>Kabel gas</t>
  </si>
  <si>
    <t>Handle</t>
  </si>
  <si>
    <t>Busi NGK T5999</t>
  </si>
  <si>
    <t>Olsam Idemitsu</t>
  </si>
  <si>
    <t>Seal Kruk as</t>
  </si>
  <si>
    <t>Per Standar tengah</t>
  </si>
  <si>
    <t>Angka 9</t>
  </si>
  <si>
    <t>Seal Roda</t>
  </si>
  <si>
    <t>Mangkok Kupling</t>
  </si>
  <si>
    <t>Apolo</t>
  </si>
  <si>
    <t>As Ayun Omega</t>
  </si>
  <si>
    <t>As ayun Vifo</t>
  </si>
  <si>
    <t>As Sasis</t>
  </si>
  <si>
    <t>Kampas Kupling Ricambi</t>
  </si>
  <si>
    <t>Asper Vesgio</t>
  </si>
  <si>
    <t>Mur Kupling</t>
  </si>
  <si>
    <t>Bak persneling</t>
  </si>
  <si>
    <t>Bak persneling PX</t>
  </si>
  <si>
    <t>Ban Dalam Ring 10</t>
  </si>
  <si>
    <t>Ring Matahari</t>
  </si>
  <si>
    <t>Ban Dalam ring 8</t>
  </si>
  <si>
    <t>Bantalan Selah</t>
  </si>
  <si>
    <t>Spi Magnet</t>
  </si>
  <si>
    <t>Baud boring</t>
  </si>
  <si>
    <t>Baud Handle</t>
  </si>
  <si>
    <t>Ring Kupling</t>
  </si>
  <si>
    <t>Baud Karbu</t>
  </si>
  <si>
    <t>Jejengkolan</t>
  </si>
  <si>
    <t>Baud nipel</t>
  </si>
  <si>
    <t>Baud rengkes</t>
  </si>
  <si>
    <t>Kunci tutup tangki</t>
  </si>
  <si>
    <t>Baud Shock</t>
  </si>
  <si>
    <t>Baud Shock atas</t>
  </si>
  <si>
    <t>Per Kupling</t>
  </si>
  <si>
    <t>Baud Shock bawah</t>
  </si>
  <si>
    <t>Baud Shock belakang</t>
  </si>
  <si>
    <t>Baud Shock depan</t>
  </si>
  <si>
    <t>Baud Stang</t>
  </si>
  <si>
    <t>Baud Tutsuk Sela</t>
  </si>
  <si>
    <t>Baud tutup Karbu</t>
  </si>
  <si>
    <t>baud tutup kipas</t>
  </si>
  <si>
    <t>Bos Kuningan</t>
  </si>
  <si>
    <t>Bumper belakang</t>
  </si>
  <si>
    <t>Laher Komstir</t>
  </si>
  <si>
    <t>Busi NGK T6000</t>
  </si>
  <si>
    <t>Mur Roda 22</t>
  </si>
  <si>
    <t>Busi T5999</t>
  </si>
  <si>
    <t>Coil</t>
  </si>
  <si>
    <t>Coil Dan Motor</t>
  </si>
  <si>
    <t>Coil Vifo</t>
  </si>
  <si>
    <t>Copet</t>
  </si>
  <si>
    <t>Dektel</t>
  </si>
  <si>
    <t>Karet Mounting</t>
  </si>
  <si>
    <t>Dudukan as</t>
  </si>
  <si>
    <t>Gantungan Kunci</t>
  </si>
  <si>
    <t>Selang bensin Vemsa</t>
  </si>
  <si>
    <t>Gasoli</t>
  </si>
  <si>
    <t>Gasoli besar</t>
  </si>
  <si>
    <t>Saklar Grabor</t>
  </si>
  <si>
    <t>Gigi Kris Vesgio</t>
  </si>
  <si>
    <t>Karet tutup tangki</t>
  </si>
  <si>
    <t>Gigi Kris Vifo</t>
  </si>
  <si>
    <t>Gigi Selah</t>
  </si>
  <si>
    <t>Karet dada/klakson</t>
  </si>
  <si>
    <t>Gigi Silang</t>
  </si>
  <si>
    <t>Gigi silang Vifo</t>
  </si>
  <si>
    <t>Golongan 1 set</t>
  </si>
  <si>
    <t>Golongan excel</t>
  </si>
  <si>
    <t>Stut 1 Set Vesgio</t>
  </si>
  <si>
    <t>Golongan Vesgio</t>
  </si>
  <si>
    <t>Golongan vitalia</t>
  </si>
  <si>
    <t>Handgrip</t>
  </si>
  <si>
    <t>Handle Dan Motor</t>
  </si>
  <si>
    <t>Kabel dalam</t>
  </si>
  <si>
    <t>Kabel dalam Kupling</t>
  </si>
  <si>
    <t>Kabel dalam rem</t>
  </si>
  <si>
    <t>Kabel gigi</t>
  </si>
  <si>
    <t>Kabel luar</t>
  </si>
  <si>
    <t>Kampas Kupling Vifo</t>
  </si>
  <si>
    <t>Kabel luar gas</t>
  </si>
  <si>
    <t>Kabel luar gigi</t>
  </si>
  <si>
    <t>Kabel luar Kupling</t>
  </si>
  <si>
    <t>Kabel luar rem</t>
  </si>
  <si>
    <t>Kabel luar rem Vemsa</t>
  </si>
  <si>
    <t xml:space="preserve">Kabel luar rem Vemsa </t>
  </si>
  <si>
    <t>Kabel rem</t>
  </si>
  <si>
    <t>Kampas Kupling</t>
  </si>
  <si>
    <t>Kampas Kupling 7 Dan Motor</t>
  </si>
  <si>
    <t>Kampas Kupling Dan Motor 6</t>
  </si>
  <si>
    <t>Oli Vemsa</t>
  </si>
  <si>
    <t>Spul Jalan Dan Motor</t>
  </si>
  <si>
    <t>Kampas rem</t>
  </si>
  <si>
    <t>Kampas rem A2 123</t>
  </si>
  <si>
    <t>Lampu Sela</t>
  </si>
  <si>
    <t>Kampas rem A2 133</t>
  </si>
  <si>
    <t>Karet Handle</t>
  </si>
  <si>
    <t>Stut Kuningan</t>
  </si>
  <si>
    <t>Karet saluran Angin</t>
  </si>
  <si>
    <t>Karet Sasis</t>
  </si>
  <si>
    <t>Karet Shock</t>
  </si>
  <si>
    <t>Karet Shock belakang</t>
  </si>
  <si>
    <t>Karet Shock depan</t>
  </si>
  <si>
    <t>Karet Shock depan atas</t>
  </si>
  <si>
    <t>Karet Shock depan bawah</t>
  </si>
  <si>
    <t>Mur Mahkota</t>
  </si>
  <si>
    <t>Karet tangki</t>
  </si>
  <si>
    <t>Karet tepong</t>
  </si>
  <si>
    <t>Karet tuas</t>
  </si>
  <si>
    <t>Keran bensin</t>
  </si>
  <si>
    <t>Keran Bensin Dan Motor</t>
  </si>
  <si>
    <t>Klakson Cpm</t>
  </si>
  <si>
    <t>Kleman rem</t>
  </si>
  <si>
    <t>Kondensor</t>
  </si>
  <si>
    <t>Kunci Kontak Pinasco 1 set</t>
  </si>
  <si>
    <t>Kondensor Bager</t>
  </si>
  <si>
    <t>Kran Bensin idp</t>
  </si>
  <si>
    <t>Kunci Busi</t>
  </si>
  <si>
    <t>Steel plate Super</t>
  </si>
  <si>
    <t>Kunci laci</t>
  </si>
  <si>
    <t>Ring baja Kupling</t>
  </si>
  <si>
    <t>Kunci ring Omega</t>
  </si>
  <si>
    <t>Kunci Stang Super</t>
  </si>
  <si>
    <t>Spuyer bensin 105</t>
  </si>
  <si>
    <t>kupling Karet</t>
  </si>
  <si>
    <t>Laher 6201</t>
  </si>
  <si>
    <t>Laher 6203</t>
  </si>
  <si>
    <t>Laher 6204 NTN</t>
  </si>
  <si>
    <t>Laher 6302 NTN</t>
  </si>
  <si>
    <t>Laher bambu Kruk As</t>
  </si>
  <si>
    <t>Laher borobudur ntn</t>
  </si>
  <si>
    <t>Laher Komsfir</t>
  </si>
  <si>
    <t>Nepel Kupling</t>
  </si>
  <si>
    <t>Laher Krus as Palesa</t>
  </si>
  <si>
    <t>Laher Mainshaft Vesgio</t>
  </si>
  <si>
    <t>Laher Mainshaft Vifo</t>
  </si>
  <si>
    <t>Laher Mimis</t>
  </si>
  <si>
    <t>Snap ring Kupling</t>
  </si>
  <si>
    <t>Laher ntn</t>
  </si>
  <si>
    <t>Laher NTN 6201</t>
  </si>
  <si>
    <t>Laher NTN 6203</t>
  </si>
  <si>
    <t>Laher Roda 6204 Vifo</t>
  </si>
  <si>
    <t>Olsam Pikoli</t>
  </si>
  <si>
    <t>Lis Cengkir</t>
  </si>
  <si>
    <t>Mahkota</t>
  </si>
  <si>
    <t>Mika Sein Dan Motor</t>
  </si>
  <si>
    <t>Mika Speedometer</t>
  </si>
  <si>
    <t>Mur 22</t>
  </si>
  <si>
    <t>Mur 24</t>
  </si>
  <si>
    <t>Switch rem Vfo</t>
  </si>
  <si>
    <t>Nepel drat</t>
  </si>
  <si>
    <t>Spuyer px</t>
  </si>
  <si>
    <t>Nipel</t>
  </si>
  <si>
    <t>Nipel Corong</t>
  </si>
  <si>
    <t>Nipel drat</t>
  </si>
  <si>
    <t>Nipel gas</t>
  </si>
  <si>
    <t>Nipel Kupling</t>
  </si>
  <si>
    <t>Nipel persneling</t>
  </si>
  <si>
    <t>Tutup fork</t>
  </si>
  <si>
    <t>Tutup tromol</t>
  </si>
  <si>
    <t>Olsam</t>
  </si>
  <si>
    <t>Olsam Castrol</t>
  </si>
  <si>
    <t>Stoplam belakang</t>
  </si>
  <si>
    <t>Olsam Cni</t>
  </si>
  <si>
    <t>Olsam Egip</t>
  </si>
  <si>
    <t>Olsam Eneos</t>
  </si>
  <si>
    <t>Olsam Evalube</t>
  </si>
  <si>
    <t>Olsam Evalube Pro</t>
  </si>
  <si>
    <t>Olsam Shell</t>
  </si>
  <si>
    <t>Velg</t>
  </si>
  <si>
    <t>Padudan Busi</t>
  </si>
  <si>
    <t>paking</t>
  </si>
  <si>
    <t>paking Set</t>
  </si>
  <si>
    <t>Parkit</t>
  </si>
  <si>
    <t>Plate gigi susun</t>
  </si>
  <si>
    <t>Per Kampas rem</t>
  </si>
  <si>
    <t>Per rem</t>
  </si>
  <si>
    <t>Ring Kupu-kupu</t>
  </si>
  <si>
    <t>Per Standar</t>
  </si>
  <si>
    <t>Piringan tromol</t>
  </si>
  <si>
    <t>Plat dudukan Kampas</t>
  </si>
  <si>
    <t>Plati</t>
  </si>
  <si>
    <t>Reflektor Lumax</t>
  </si>
  <si>
    <t>Ring Komstir</t>
  </si>
  <si>
    <t>Ring Matahari Kupling</t>
  </si>
  <si>
    <t>Ring rengkes</t>
  </si>
  <si>
    <t>Saklar</t>
  </si>
  <si>
    <t>Saklar lengkap Danmotor</t>
  </si>
  <si>
    <t>Speedo Mika Speedo</t>
  </si>
  <si>
    <t>Saklar Loo Minden</t>
  </si>
  <si>
    <t>Sambungan Shock</t>
  </si>
  <si>
    <t>Saringan Karbu</t>
  </si>
  <si>
    <t>Seal Kruk As Corteco</t>
  </si>
  <si>
    <t>Seal Roda 2747</t>
  </si>
  <si>
    <t>Seal Roda 3047</t>
  </si>
  <si>
    <t>Selahan</t>
  </si>
  <si>
    <t>Selahan Super</t>
  </si>
  <si>
    <t>Sepatu Standar</t>
  </si>
  <si>
    <t>Spakbor Dan Motor</t>
  </si>
  <si>
    <t>Speedometer Super</t>
  </si>
  <si>
    <t>Spi rem</t>
  </si>
  <si>
    <t>Spul jalan + Danstar</t>
  </si>
  <si>
    <t>Spul Lampu</t>
  </si>
  <si>
    <t>Seal roda</t>
  </si>
  <si>
    <t>Standar</t>
  </si>
  <si>
    <t>Standar Dan Motor</t>
  </si>
  <si>
    <t>Tutup Kipas</t>
  </si>
  <si>
    <t>Switch rem Hyper Vifo</t>
  </si>
  <si>
    <t>Gasoli Besar</t>
  </si>
  <si>
    <t>Tarikan tepong</t>
  </si>
  <si>
    <t>Terminal Kabel</t>
  </si>
  <si>
    <t>tuas</t>
  </si>
  <si>
    <t>Tuas rem</t>
  </si>
  <si>
    <t>Velg 10</t>
  </si>
  <si>
    <t>Tutup tangki</t>
  </si>
  <si>
    <t>Wicheng ex</t>
  </si>
  <si>
    <t>Tutup Fork</t>
  </si>
  <si>
    <t>% Kumulatif</t>
  </si>
  <si>
    <t>Baud tutup Kipas</t>
  </si>
  <si>
    <t>Mur roda 22</t>
  </si>
  <si>
    <t>paking set</t>
  </si>
  <si>
    <t>Kunci busi</t>
  </si>
  <si>
    <t>Grand Total</t>
  </si>
  <si>
    <t>Revenue(Rp)</t>
  </si>
  <si>
    <t>qty</t>
  </si>
  <si>
    <t>Produk</t>
  </si>
  <si>
    <t>kategori</t>
  </si>
  <si>
    <t>A</t>
  </si>
  <si>
    <t>B</t>
  </si>
  <si>
    <t>C</t>
  </si>
  <si>
    <t>revenue</t>
  </si>
  <si>
    <t>Row Labels</t>
  </si>
  <si>
    <t>Sun</t>
  </si>
  <si>
    <t>Mon</t>
  </si>
  <si>
    <t>Tue</t>
  </si>
  <si>
    <t>Wed</t>
  </si>
  <si>
    <t>Thu</t>
  </si>
  <si>
    <t>Fri</t>
  </si>
  <si>
    <t>Sat</t>
  </si>
  <si>
    <t>Sum of total_harga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</si>
</sst>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&quot;Rp&quot;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Rp-421]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Rp-421]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 vs revenue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797075065616798"/>
          <c:y val="0.16712962962962963"/>
          <c:w val="0.76905490813648303"/>
          <c:h val="0.731111111111111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Sheet2!$B$3:$B$101</c:f>
              <c:numCache>
                <c:formatCode>General</c:formatCode>
                <c:ptCount val="99"/>
                <c:pt idx="0">
                  <c:v>40</c:v>
                </c:pt>
                <c:pt idx="1">
                  <c:v>8</c:v>
                </c:pt>
                <c:pt idx="2">
                  <c:v>14</c:v>
                </c:pt>
                <c:pt idx="3">
                  <c:v>2</c:v>
                </c:pt>
                <c:pt idx="4">
                  <c:v>24</c:v>
                </c:pt>
                <c:pt idx="5">
                  <c:v>2</c:v>
                </c:pt>
                <c:pt idx="6">
                  <c:v>9</c:v>
                </c:pt>
                <c:pt idx="7">
                  <c:v>2</c:v>
                </c:pt>
                <c:pt idx="8">
                  <c:v>22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1</c:v>
                </c:pt>
                <c:pt idx="32">
                  <c:v>11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6">
                  <c:v>1</c:v>
                </c:pt>
                <c:pt idx="37">
                  <c:v>8</c:v>
                </c:pt>
                <c:pt idx="38">
                  <c:v>3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1</c:v>
                </c:pt>
                <c:pt idx="45">
                  <c:v>2</c:v>
                </c:pt>
                <c:pt idx="46">
                  <c:v>7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6</c:v>
                </c:pt>
                <c:pt idx="56">
                  <c:v>1</c:v>
                </c:pt>
                <c:pt idx="57">
                  <c:v>3</c:v>
                </c:pt>
                <c:pt idx="58">
                  <c:v>1</c:v>
                </c:pt>
                <c:pt idx="59">
                  <c:v>5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13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4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5</c:v>
                </c:pt>
                <c:pt idx="77">
                  <c:v>1</c:v>
                </c:pt>
                <c:pt idx="78">
                  <c:v>11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3</c:v>
                </c:pt>
              </c:numCache>
            </c:numRef>
          </c:xVal>
          <c:yVal>
            <c:numRef>
              <c:f>Sheet2!$C$3:$C$101</c:f>
              <c:numCache>
                <c:formatCode>"Rp"#,##0</c:formatCode>
                <c:ptCount val="99"/>
                <c:pt idx="0">
                  <c:v>894000</c:v>
                </c:pt>
                <c:pt idx="1">
                  <c:v>361000</c:v>
                </c:pt>
                <c:pt idx="2">
                  <c:v>335000</c:v>
                </c:pt>
                <c:pt idx="3">
                  <c:v>260000</c:v>
                </c:pt>
                <c:pt idx="4">
                  <c:v>246000</c:v>
                </c:pt>
                <c:pt idx="5">
                  <c:v>230000</c:v>
                </c:pt>
                <c:pt idx="6">
                  <c:v>226000</c:v>
                </c:pt>
                <c:pt idx="7">
                  <c:v>224000</c:v>
                </c:pt>
                <c:pt idx="8">
                  <c:v>220000</c:v>
                </c:pt>
                <c:pt idx="9">
                  <c:v>216000</c:v>
                </c:pt>
                <c:pt idx="10">
                  <c:v>212000</c:v>
                </c:pt>
                <c:pt idx="11">
                  <c:v>180000</c:v>
                </c:pt>
                <c:pt idx="12">
                  <c:v>180000</c:v>
                </c:pt>
                <c:pt idx="13">
                  <c:v>175000</c:v>
                </c:pt>
                <c:pt idx="14">
                  <c:v>175000</c:v>
                </c:pt>
                <c:pt idx="15">
                  <c:v>175000</c:v>
                </c:pt>
                <c:pt idx="16">
                  <c:v>170000</c:v>
                </c:pt>
                <c:pt idx="17">
                  <c:v>164000</c:v>
                </c:pt>
                <c:pt idx="18">
                  <c:v>160000</c:v>
                </c:pt>
                <c:pt idx="19">
                  <c:v>157000</c:v>
                </c:pt>
                <c:pt idx="20">
                  <c:v>140000</c:v>
                </c:pt>
                <c:pt idx="21">
                  <c:v>135000</c:v>
                </c:pt>
                <c:pt idx="22">
                  <c:v>130000</c:v>
                </c:pt>
                <c:pt idx="23">
                  <c:v>125000</c:v>
                </c:pt>
                <c:pt idx="24">
                  <c:v>125000</c:v>
                </c:pt>
                <c:pt idx="25">
                  <c:v>125000</c:v>
                </c:pt>
                <c:pt idx="26">
                  <c:v>125000</c:v>
                </c:pt>
                <c:pt idx="27">
                  <c:v>122000</c:v>
                </c:pt>
                <c:pt idx="28">
                  <c:v>120000</c:v>
                </c:pt>
                <c:pt idx="29">
                  <c:v>120000</c:v>
                </c:pt>
                <c:pt idx="30">
                  <c:v>118500</c:v>
                </c:pt>
                <c:pt idx="31">
                  <c:v>115000</c:v>
                </c:pt>
                <c:pt idx="32">
                  <c:v>112000</c:v>
                </c:pt>
                <c:pt idx="33">
                  <c:v>104000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94000</c:v>
                </c:pt>
                <c:pt idx="38">
                  <c:v>90000</c:v>
                </c:pt>
                <c:pt idx="39">
                  <c:v>90000</c:v>
                </c:pt>
                <c:pt idx="40">
                  <c:v>90000</c:v>
                </c:pt>
                <c:pt idx="41">
                  <c:v>89000</c:v>
                </c:pt>
                <c:pt idx="42">
                  <c:v>84000</c:v>
                </c:pt>
                <c:pt idx="43">
                  <c:v>84000</c:v>
                </c:pt>
                <c:pt idx="44">
                  <c:v>83000</c:v>
                </c:pt>
                <c:pt idx="45">
                  <c:v>82000</c:v>
                </c:pt>
                <c:pt idx="46">
                  <c:v>81000</c:v>
                </c:pt>
                <c:pt idx="47">
                  <c:v>80000</c:v>
                </c:pt>
                <c:pt idx="48">
                  <c:v>80000</c:v>
                </c:pt>
                <c:pt idx="49">
                  <c:v>80000</c:v>
                </c:pt>
                <c:pt idx="50">
                  <c:v>80000</c:v>
                </c:pt>
                <c:pt idx="51">
                  <c:v>80000</c:v>
                </c:pt>
                <c:pt idx="52">
                  <c:v>80000</c:v>
                </c:pt>
                <c:pt idx="53">
                  <c:v>78000</c:v>
                </c:pt>
                <c:pt idx="54">
                  <c:v>77500</c:v>
                </c:pt>
                <c:pt idx="55">
                  <c:v>76000</c:v>
                </c:pt>
                <c:pt idx="56">
                  <c:v>75000</c:v>
                </c:pt>
                <c:pt idx="57">
                  <c:v>75000</c:v>
                </c:pt>
                <c:pt idx="58">
                  <c:v>75000</c:v>
                </c:pt>
                <c:pt idx="59">
                  <c:v>75000</c:v>
                </c:pt>
                <c:pt idx="60">
                  <c:v>74000</c:v>
                </c:pt>
                <c:pt idx="61">
                  <c:v>72000</c:v>
                </c:pt>
                <c:pt idx="62">
                  <c:v>70000</c:v>
                </c:pt>
                <c:pt idx="63">
                  <c:v>70000</c:v>
                </c:pt>
                <c:pt idx="64">
                  <c:v>70000</c:v>
                </c:pt>
                <c:pt idx="65">
                  <c:v>70000</c:v>
                </c:pt>
                <c:pt idx="66">
                  <c:v>65000</c:v>
                </c:pt>
                <c:pt idx="67">
                  <c:v>65000</c:v>
                </c:pt>
                <c:pt idx="68">
                  <c:v>64000</c:v>
                </c:pt>
                <c:pt idx="69">
                  <c:v>63000</c:v>
                </c:pt>
                <c:pt idx="70">
                  <c:v>63000</c:v>
                </c:pt>
                <c:pt idx="71">
                  <c:v>63000</c:v>
                </c:pt>
                <c:pt idx="72">
                  <c:v>60000</c:v>
                </c:pt>
                <c:pt idx="73">
                  <c:v>57000</c:v>
                </c:pt>
                <c:pt idx="74">
                  <c:v>57000</c:v>
                </c:pt>
                <c:pt idx="75">
                  <c:v>57000</c:v>
                </c:pt>
                <c:pt idx="76">
                  <c:v>55000</c:v>
                </c:pt>
                <c:pt idx="77">
                  <c:v>55000</c:v>
                </c:pt>
                <c:pt idx="78">
                  <c:v>54000</c:v>
                </c:pt>
                <c:pt idx="79">
                  <c:v>53000</c:v>
                </c:pt>
                <c:pt idx="80">
                  <c:v>53000</c:v>
                </c:pt>
                <c:pt idx="81">
                  <c:v>53000</c:v>
                </c:pt>
                <c:pt idx="82">
                  <c:v>52000</c:v>
                </c:pt>
                <c:pt idx="83">
                  <c:v>52000</c:v>
                </c:pt>
                <c:pt idx="84">
                  <c:v>50000</c:v>
                </c:pt>
                <c:pt idx="85">
                  <c:v>50000</c:v>
                </c:pt>
                <c:pt idx="86">
                  <c:v>50000</c:v>
                </c:pt>
                <c:pt idx="87">
                  <c:v>50000</c:v>
                </c:pt>
                <c:pt idx="88">
                  <c:v>50000</c:v>
                </c:pt>
                <c:pt idx="89">
                  <c:v>49000</c:v>
                </c:pt>
                <c:pt idx="90">
                  <c:v>47000</c:v>
                </c:pt>
                <c:pt idx="91">
                  <c:v>47000</c:v>
                </c:pt>
                <c:pt idx="92">
                  <c:v>45000</c:v>
                </c:pt>
                <c:pt idx="93">
                  <c:v>45000</c:v>
                </c:pt>
                <c:pt idx="94">
                  <c:v>45000</c:v>
                </c:pt>
                <c:pt idx="95">
                  <c:v>45000</c:v>
                </c:pt>
                <c:pt idx="96">
                  <c:v>45000</c:v>
                </c:pt>
                <c:pt idx="97">
                  <c:v>43000</c:v>
                </c:pt>
                <c:pt idx="98">
                  <c:v>42500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3-4092-B466-8A214E54E5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1152896"/>
        <c:axId val="571152176"/>
      </c:scatterChart>
      <c:valAx>
        <c:axId val="5711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71152176"/>
        <c:crosses val="autoZero"/>
        <c:crossBetween val="midCat"/>
      </c:valAx>
      <c:valAx>
        <c:axId val="5711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7115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3</xdr:row>
      <xdr:rowOff>99060</xdr:rowOff>
    </xdr:from>
    <xdr:to>
      <xdr:col>13</xdr:col>
      <xdr:colOff>53340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EDC2C-ED4B-CE5E-539E-1A0D042FD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eng Rika Siti Nurfauziah" refreshedDate="46246.690095370373" createdVersion="8" refreshedVersion="8" minRefreshableVersion="3" recordCount="424" xr:uid="{71E90B63-4FA3-4469-9A95-E9989FF0C8EB}">
  <cacheSource type="worksheet">
    <worksheetSource ref="A1:H425" sheet="penjualan"/>
  </cacheSource>
  <cacheFields count="8">
    <cacheField name="tanggal" numFmtId="14">
      <sharedItems containsSemiMixedTypes="0" containsNonDate="0" containsDate="1" containsString="0" minDate="2026-05-04T00:00:00" maxDate="2026-07-24T00:00:00"/>
    </cacheField>
    <cacheField name="nama_produk" numFmtId="49">
      <sharedItems count="221">
        <s v="Kabel Persneling"/>
        <s v="Per Keong"/>
        <s v="Oli Mesin"/>
        <s v="Busi"/>
        <s v="Parkit 105"/>
        <s v="Spuyer"/>
        <s v="Kabel luar Vemsa"/>
        <s v="Kabel Kupling"/>
        <s v="Kabel gas"/>
        <s v="Handle"/>
        <s v="Busi NGK T5999"/>
        <s v="Olsam Idemitsu"/>
        <s v="Seal Kruk as"/>
        <s v="Per Standar tengah"/>
        <s v="Seal Roda"/>
        <s v="Mangkok Kupling"/>
        <s v="Kampas Kupling Ricambi"/>
        <s v="Mur Kupling"/>
        <s v="Ring Matahari"/>
        <s v="Spi Magnet"/>
        <s v="Ring Kupling"/>
        <s v="Jejengkolan"/>
        <s v="Kunci tutup tangki"/>
        <s v="Per Kupling"/>
        <s v="Bak persneling PX"/>
        <s v="Laher Komstir"/>
        <s v="Mur Roda 22"/>
        <s v="Karet Mounting"/>
        <s v="Selang bensin Vemsa"/>
        <s v="Saklar Grabor"/>
        <s v="Karet tutup tangki"/>
        <s v="Karet dada/klakson"/>
        <s v="Baud tutup Karbu"/>
        <s v="Stut 1 Set Vesgio"/>
        <s v="As Ayun Omega"/>
        <s v="Baud Handle"/>
        <s v="Baud boring"/>
        <s v="Kampas Kupling Vifo"/>
        <s v="Gasoli besar"/>
        <s v="Oli Vemsa"/>
        <s v="Spul Jalan Dan Motor"/>
        <s v="Lampu Sela"/>
        <s v="Golongan excel"/>
        <s v="Stut Kuningan"/>
        <s v="Kabel rem"/>
        <s v="Kabel luar rem Vemsa"/>
        <s v="Mur Mahkota"/>
        <s v="Bos Kuningan"/>
        <s v="Coil Vifo"/>
        <s v="Kunci Kontak Pinasco 1 set"/>
        <s v="Steel plate Super"/>
        <s v="Ring baja Kupling"/>
        <s v="Spuyer bensin 105"/>
        <s v="Busi NGK T6000"/>
        <s v="Nepel Kupling"/>
        <s v="Snap ring Kupling"/>
        <s v="Olsam Pikoli"/>
        <s v="Golongan Vesgio"/>
        <s v="Gasoli"/>
        <s v="Switch rem Vfo"/>
        <s v="Spuyer px"/>
        <s v="Bak persneling"/>
        <s v="Klakson Cpm"/>
        <s v="Handgrip"/>
        <s v="Tutup fork"/>
        <s v="Tutup tromol"/>
        <s v="Stoplam belakang"/>
        <s v="Dudukan as"/>
        <s v="Keran bensin"/>
        <s v="Lis Cengkir"/>
        <s v="Velg"/>
        <s v="Laher ntn"/>
        <s v="Plate gigi susun"/>
        <s v="Laher borobudur ntn"/>
        <s v="Ring Kupu-kupu"/>
        <s v="Kampas rem"/>
        <s v="Per Standar"/>
        <s v="Ban Dalam ring 8"/>
        <s v="Nipel Kupling"/>
        <s v="Speedo Mika Speedo"/>
        <s v="Laher Mainshaft Vesgio"/>
        <s v="Kabel dalam rem"/>
        <s v="Saklar Loo Minden"/>
        <s v="Selahan Super"/>
        <s v="Nipel persneling"/>
        <s v="Angka 9"/>
        <s v="Baud Shock depan"/>
        <s v="Baud Shock belakang"/>
        <s v="Piringan tromol"/>
        <s v="Tutup Kipas"/>
        <s v="Reflektor Lumax"/>
        <s v="Velg 10"/>
        <s v="Laher 6204 NTN"/>
        <s v="Laher 6302 NTN"/>
        <s v="Gigi Kris Vesgio"/>
        <s v="Laher Krus as Palesa"/>
        <s v="paking Set"/>
        <s v="Laher Mimis"/>
        <s v="Laher Mainshaft Vifo"/>
        <s v="Kampas Kupling Dan Motor 6"/>
        <s v="Olsam Eneos"/>
        <s v="Tutup tangki"/>
        <s v="Gigi Silang"/>
        <s v="paking"/>
        <s v="Olsam Evalube"/>
        <s v="Sepatu Standar"/>
        <s v="Standar Dan Motor"/>
        <s v="Spul Lampu"/>
        <s v="Padudan Busi"/>
        <s v="Selahan"/>
        <s v="Standar"/>
        <s v="Kunci Stang Super"/>
        <s v="Kondensor"/>
        <s v="Coil"/>
        <s v="Busi T5999"/>
        <s v="Karet tepong"/>
        <s v="Karet tangki"/>
        <s v="Baud Karbu"/>
        <s v="Tarikan tepong"/>
        <s v="baud tutup kipas"/>
        <s v="Plati"/>
        <s v="Bantalan Selah"/>
        <s v="Karet Shock depan"/>
        <s v="Karet Shock belakang"/>
        <s v="Nipel gas"/>
        <s v="Mika Sein Dan Motor"/>
        <s v="Olsam Shell"/>
        <s v="Parkit"/>
        <s v="Apolo"/>
        <s v="Laher Roda 6204 Vifo"/>
        <s v="Seal Roda 2747"/>
        <s v="Wicheng ex"/>
        <s v="Bumper belakang"/>
        <s v="Copet"/>
        <s v="Per Kampas rem"/>
        <s v="Switch rem Hyper Vifo"/>
        <s v="Seal Kruk As Corteco"/>
        <s v="Laher bambu Kruk As"/>
        <s v="Kampas Kupling 7 Dan Motor"/>
        <s v="Keran Bensin Dan Motor"/>
        <s v="Karet tuas"/>
        <s v="Kunci Busi"/>
        <s v="Laher NTN 6201"/>
        <s v="Laher NTN 6203"/>
        <s v="As Sasis"/>
        <s v="Karet Sasis"/>
        <s v="Kondensor Bager"/>
        <s v="Sambungan Shock"/>
        <s v="Nipel"/>
        <s v="Baud Tutsuk Sela"/>
        <s v="Olsam Cni"/>
        <s v="Ring Matahari Kupling"/>
        <s v="Mur 22"/>
        <s v="Kleman rem"/>
        <s v="Kampas Kupling"/>
        <s v="Golongan vitalia"/>
        <s v="Spakbor Dan Motor"/>
        <s v="Spi rem"/>
        <s v="Coil Dan Motor"/>
        <s v="Gigi Selah"/>
        <s v="Olsam Evalube Pro"/>
        <s v="Nipel Corong"/>
        <s v="Baud Shock"/>
        <s v="Olsam"/>
        <s v="Dektel"/>
        <s v="Baud Stang"/>
        <s v="Seal Roda 3047"/>
        <s v="Saringan Karbu"/>
        <s v="Kabel luar gigi"/>
        <s v="Kabel luar Kupling"/>
        <s v="Kabel luar gas"/>
        <s v="Kabel luar rem"/>
        <s v="Kabel gigi"/>
        <s v="Mur 24"/>
        <s v="Mahkota"/>
        <s v="Mika Speedometer"/>
        <s v="Karet Handle"/>
        <s v="Kunci ring Omega"/>
        <s v="Golongan 1 set"/>
        <s v="Kabel dalam"/>
        <s v="Saklar"/>
        <s v="Asper Vesgio"/>
        <s v="Tuas rem"/>
        <s v="Nipel drat"/>
        <s v="Baud Shock atas"/>
        <s v="Baud Shock bawah"/>
        <s v="As ayun Vifo"/>
        <s v="Laher 6201"/>
        <s v="Laher 6203"/>
        <s v="Kabel luar rem Vemsa "/>
        <s v="Ring Komstir"/>
        <s v="Kampas rem A2 123"/>
        <s v="Kunci laci"/>
        <s v="Gantungan Kunci"/>
        <s v="Olsam Castrol"/>
        <s v="Laher Komsfir"/>
        <s v="Spul jalan + Danstar"/>
        <s v="Gigi silang Vifo"/>
        <s v="Karet saluran Angin"/>
        <s v="kupling Karet"/>
        <s v="tuas"/>
        <s v="Gigi Kris Vifo"/>
        <s v="Kran Bensin idp"/>
        <s v="Speedometer Super"/>
        <s v="Ban Dalam Ring 10"/>
        <s v="Karet Shock"/>
        <s v="Nepel drat"/>
        <s v="Saklar lengkap Danmotor"/>
        <s v="Kampas rem A2 133"/>
        <s v="Kabel dalam Kupling"/>
        <s v="Olsam Egip"/>
        <s v="Baud rengkes"/>
        <s v="Ring rengkes"/>
        <s v="Karet Shock depan atas"/>
        <s v="Karet Shock depan bawah"/>
        <s v="Terminal Kabel"/>
        <s v="Baud nipel"/>
        <s v="Handle Dan Motor"/>
        <s v="Per rem"/>
        <s v="Plat dudukan Kampas"/>
        <s v="Kabel luar"/>
      </sharedItems>
    </cacheField>
    <cacheField name="jumlah" numFmtId="3">
      <sharedItems containsSemiMixedTypes="0" containsString="0" containsNumber="1" containsInteger="1" minValue="1" maxValue="10"/>
    </cacheField>
    <cacheField name="harga" numFmtId="164">
      <sharedItems containsSemiMixedTypes="0" containsString="0" containsNumber="1" containsInteger="1" minValue="1000" maxValue="180000"/>
    </cacheField>
    <cacheField name="total_harga (Rp)" numFmtId="164">
      <sharedItems containsSemiMixedTypes="0" containsString="0" containsNumber="1" containsInteger="1" minValue="3000" maxValue="224000"/>
    </cacheField>
    <cacheField name="Keterangan" numFmtId="0">
      <sharedItems containsBlank="1"/>
    </cacheField>
    <cacheField name="bulan" numFmtId="0">
      <sharedItems/>
    </cacheField>
    <cacheField name="hari_dalam_minggu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eng Rika Siti Nurfauziah" refreshedDate="46251.45173090278" createdVersion="8" refreshedVersion="8" minRefreshableVersion="3" recordCount="424" xr:uid="{5E60947F-3474-4D53-AB79-4CE7C77AB7BF}">
  <cacheSource type="worksheet">
    <worksheetSource name="Table2"/>
  </cacheSource>
  <cacheFields count="8">
    <cacheField name="tanggal" numFmtId="14">
      <sharedItems containsSemiMixedTypes="0" containsNonDate="0" containsDate="1" containsString="0" minDate="2026-05-04T00:00:00" maxDate="2026-07-24T00:00:00"/>
    </cacheField>
    <cacheField name="nama_produk" numFmtId="49">
      <sharedItems/>
    </cacheField>
    <cacheField name="jumlah" numFmtId="3">
      <sharedItems containsSemiMixedTypes="0" containsString="0" containsNumber="1" containsInteger="1" minValue="1" maxValue="10"/>
    </cacheField>
    <cacheField name="harga" numFmtId="164">
      <sharedItems containsSemiMixedTypes="0" containsString="0" containsNumber="1" containsInteger="1" minValue="1000" maxValue="180000"/>
    </cacheField>
    <cacheField name="total_harga (Rp)" numFmtId="164">
      <sharedItems containsSemiMixedTypes="0" containsString="0" containsNumber="1" containsInteger="1" minValue="3000" maxValue="224000"/>
    </cacheField>
    <cacheField name="Keterangan" numFmtId="0">
      <sharedItems containsBlank="1"/>
    </cacheField>
    <cacheField name="bulan" numFmtId="0">
      <sharedItems/>
    </cacheField>
    <cacheField name="hari_dalam_minggu" numFmtId="0">
      <sharedItems count="7">
        <s v="Mon"/>
        <s v="Tue"/>
        <s v="Thu"/>
        <s v="Fri"/>
        <s v="Sat"/>
        <s v="Wed"/>
        <s v="S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d v="2026-05-04T00:00:00"/>
    <x v="0"/>
    <n v="1"/>
    <n v="10000"/>
    <n v="10000"/>
    <m/>
    <s v="May"/>
    <s v="Mon"/>
  </r>
  <r>
    <d v="2026-05-04T00:00:00"/>
    <x v="1"/>
    <n v="2"/>
    <n v="35000"/>
    <n v="70000"/>
    <m/>
    <s v="May"/>
    <s v="Mon"/>
  </r>
  <r>
    <d v="2026-05-04T00:00:00"/>
    <x v="2"/>
    <n v="1"/>
    <n v="15000"/>
    <n v="15000"/>
    <m/>
    <s v="May"/>
    <s v="Mon"/>
  </r>
  <r>
    <d v="2026-05-04T00:00:00"/>
    <x v="3"/>
    <n v="1"/>
    <n v="20000"/>
    <n v="20000"/>
    <m/>
    <s v="May"/>
    <s v="Mon"/>
  </r>
  <r>
    <d v="2026-05-04T00:00:00"/>
    <x v="4"/>
    <n v="1"/>
    <n v="10000"/>
    <n v="10000"/>
    <m/>
    <s v="May"/>
    <s v="Mon"/>
  </r>
  <r>
    <d v="2026-05-04T00:00:00"/>
    <x v="5"/>
    <n v="1"/>
    <n v="40000"/>
    <n v="40000"/>
    <s v="Tf"/>
    <s v="May"/>
    <s v="Mon"/>
  </r>
  <r>
    <d v="2026-05-05T00:00:00"/>
    <x v="3"/>
    <n v="2"/>
    <n v="20000"/>
    <n v="40000"/>
    <s v="Tf"/>
    <s v="May"/>
    <s v="Tue"/>
  </r>
  <r>
    <d v="2026-05-05T00:00:00"/>
    <x v="6"/>
    <n v="1"/>
    <n v="22000"/>
    <n v="22000"/>
    <m/>
    <s v="May"/>
    <s v="Tue"/>
  </r>
  <r>
    <d v="2026-05-05T00:00:00"/>
    <x v="0"/>
    <n v="2"/>
    <n v="10000"/>
    <n v="20000"/>
    <m/>
    <s v="May"/>
    <s v="Tue"/>
  </r>
  <r>
    <d v="2026-05-05T00:00:00"/>
    <x v="7"/>
    <n v="2"/>
    <n v="10000"/>
    <n v="20000"/>
    <m/>
    <s v="May"/>
    <s v="Tue"/>
  </r>
  <r>
    <d v="2026-05-05T00:00:00"/>
    <x v="8"/>
    <n v="1"/>
    <n v="10000"/>
    <n v="10000"/>
    <m/>
    <s v="May"/>
    <s v="Tue"/>
  </r>
  <r>
    <d v="2026-05-05T00:00:00"/>
    <x v="9"/>
    <n v="1"/>
    <n v="35000"/>
    <n v="35000"/>
    <m/>
    <s v="May"/>
    <s v="Tue"/>
  </r>
  <r>
    <d v="2026-05-05T00:00:00"/>
    <x v="2"/>
    <n v="1"/>
    <n v="15000"/>
    <n v="15000"/>
    <m/>
    <s v="May"/>
    <s v="Tue"/>
  </r>
  <r>
    <d v="2026-05-05T00:00:00"/>
    <x v="10"/>
    <n v="2"/>
    <n v="10000"/>
    <n v="20000"/>
    <s v="Tf"/>
    <s v="May"/>
    <s v="Tue"/>
  </r>
  <r>
    <d v="2026-05-05T00:00:00"/>
    <x v="6"/>
    <n v="1"/>
    <n v="22000"/>
    <n v="22000"/>
    <m/>
    <s v="May"/>
    <s v="Tue"/>
  </r>
  <r>
    <d v="2026-05-05T00:00:00"/>
    <x v="11"/>
    <n v="1"/>
    <n v="52000"/>
    <n v="52000"/>
    <m/>
    <s v="May"/>
    <s v="Tue"/>
  </r>
  <r>
    <d v="2026-05-07T00:00:00"/>
    <x v="8"/>
    <n v="1"/>
    <n v="10000"/>
    <n v="10000"/>
    <m/>
    <s v="May"/>
    <s v="Thu"/>
  </r>
  <r>
    <d v="2026-05-07T00:00:00"/>
    <x v="12"/>
    <n v="1"/>
    <n v="30000"/>
    <n v="30000"/>
    <m/>
    <s v="May"/>
    <s v="Thu"/>
  </r>
  <r>
    <d v="2026-05-07T00:00:00"/>
    <x v="7"/>
    <n v="1"/>
    <n v="10000"/>
    <n v="10000"/>
    <m/>
    <s v="May"/>
    <s v="Thu"/>
  </r>
  <r>
    <d v="2026-05-08T00:00:00"/>
    <x v="2"/>
    <n v="1"/>
    <n v="15000"/>
    <n v="15000"/>
    <m/>
    <s v="May"/>
    <s v="Fri"/>
  </r>
  <r>
    <d v="2026-05-08T00:00:00"/>
    <x v="13"/>
    <n v="1"/>
    <n v="15000"/>
    <n v="15000"/>
    <m/>
    <s v="May"/>
    <s v="Fri"/>
  </r>
  <r>
    <d v="2026-05-09T00:00:00"/>
    <x v="14"/>
    <n v="1"/>
    <n v="15000"/>
    <n v="15000"/>
    <m/>
    <s v="May"/>
    <s v="Sat"/>
  </r>
  <r>
    <d v="2026-05-09T00:00:00"/>
    <x v="15"/>
    <n v="1"/>
    <n v="45000"/>
    <n v="45000"/>
    <m/>
    <s v="May"/>
    <s v="Sat"/>
  </r>
  <r>
    <d v="2026-05-09T00:00:00"/>
    <x v="16"/>
    <n v="1"/>
    <n v="40000"/>
    <n v="40000"/>
    <m/>
    <s v="May"/>
    <s v="Sat"/>
  </r>
  <r>
    <d v="2026-05-09T00:00:00"/>
    <x v="17"/>
    <n v="1"/>
    <n v="10000"/>
    <n v="10000"/>
    <m/>
    <s v="May"/>
    <s v="Sat"/>
  </r>
  <r>
    <d v="2026-05-09T00:00:00"/>
    <x v="18"/>
    <n v="1"/>
    <n v="5000"/>
    <n v="5000"/>
    <m/>
    <s v="May"/>
    <s v="Sat"/>
  </r>
  <r>
    <d v="2026-05-09T00:00:00"/>
    <x v="19"/>
    <n v="1"/>
    <n v="7000"/>
    <n v="7000"/>
    <m/>
    <s v="May"/>
    <s v="Sat"/>
  </r>
  <r>
    <d v="2026-05-09T00:00:00"/>
    <x v="20"/>
    <n v="1"/>
    <n v="10000"/>
    <n v="10000"/>
    <m/>
    <s v="May"/>
    <s v="Sat"/>
  </r>
  <r>
    <d v="2026-05-09T00:00:00"/>
    <x v="21"/>
    <n v="6"/>
    <n v="5000"/>
    <n v="30000"/>
    <m/>
    <s v="May"/>
    <s v="Sat"/>
  </r>
  <r>
    <d v="2026-05-09T00:00:00"/>
    <x v="22"/>
    <n v="1"/>
    <n v="15000"/>
    <n v="15000"/>
    <m/>
    <s v="May"/>
    <s v="Sat"/>
  </r>
  <r>
    <d v="2026-05-09T00:00:00"/>
    <x v="23"/>
    <n v="6"/>
    <n v="4000"/>
    <n v="24000"/>
    <m/>
    <s v="May"/>
    <s v="Sat"/>
  </r>
  <r>
    <d v="2026-05-09T00:00:00"/>
    <x v="24"/>
    <n v="1"/>
    <n v="115000"/>
    <n v="115000"/>
    <m/>
    <s v="May"/>
    <s v="Sat"/>
  </r>
  <r>
    <d v="2026-05-09T00:00:00"/>
    <x v="0"/>
    <n v="2"/>
    <n v="10000"/>
    <n v="20000"/>
    <m/>
    <s v="May"/>
    <s v="Sat"/>
  </r>
  <r>
    <d v="2026-05-09T00:00:00"/>
    <x v="0"/>
    <n v="2"/>
    <n v="10000"/>
    <n v="20000"/>
    <m/>
    <s v="May"/>
    <s v="Sat"/>
  </r>
  <r>
    <d v="2026-05-09T00:00:00"/>
    <x v="7"/>
    <n v="1"/>
    <n v="10000"/>
    <n v="10000"/>
    <m/>
    <s v="May"/>
    <s v="Sat"/>
  </r>
  <r>
    <d v="2026-05-09T00:00:00"/>
    <x v="25"/>
    <n v="1"/>
    <n v="15000"/>
    <n v="15000"/>
    <m/>
    <s v="May"/>
    <s v="Sat"/>
  </r>
  <r>
    <d v="2026-05-11T00:00:00"/>
    <x v="26"/>
    <n v="1"/>
    <n v="10000"/>
    <n v="10000"/>
    <m/>
    <s v="May"/>
    <s v="Mon"/>
  </r>
  <r>
    <d v="2026-05-11T00:00:00"/>
    <x v="2"/>
    <n v="3"/>
    <n v="15000"/>
    <n v="45000"/>
    <m/>
    <s v="May"/>
    <s v="Mon"/>
  </r>
  <r>
    <d v="2026-05-11T00:00:00"/>
    <x v="7"/>
    <n v="2"/>
    <n v="10000"/>
    <n v="20000"/>
    <m/>
    <s v="May"/>
    <s v="Mon"/>
  </r>
  <r>
    <d v="2026-05-11T00:00:00"/>
    <x v="27"/>
    <n v="1"/>
    <n v="20000"/>
    <n v="20000"/>
    <m/>
    <s v="May"/>
    <s v="Mon"/>
  </r>
  <r>
    <d v="2026-05-11T00:00:00"/>
    <x v="28"/>
    <n v="1"/>
    <n v="13000"/>
    <n v="13000"/>
    <m/>
    <s v="May"/>
    <s v="Mon"/>
  </r>
  <r>
    <d v="2026-05-11T00:00:00"/>
    <x v="29"/>
    <n v="1"/>
    <n v="35000"/>
    <n v="35000"/>
    <m/>
    <s v="May"/>
    <s v="Mon"/>
  </r>
  <r>
    <d v="2026-05-11T00:00:00"/>
    <x v="30"/>
    <n v="1"/>
    <n v="15000"/>
    <n v="15000"/>
    <m/>
    <s v="May"/>
    <s v="Mon"/>
  </r>
  <r>
    <d v="2026-05-11T00:00:00"/>
    <x v="31"/>
    <n v="1"/>
    <n v="15000"/>
    <n v="15000"/>
    <m/>
    <s v="May"/>
    <s v="Mon"/>
  </r>
  <r>
    <d v="2026-05-11T00:00:00"/>
    <x v="32"/>
    <n v="3"/>
    <n v="7000"/>
    <n v="21000"/>
    <m/>
    <s v="May"/>
    <s v="Mon"/>
  </r>
  <r>
    <d v="2026-05-11T00:00:00"/>
    <x v="33"/>
    <n v="1"/>
    <n v="33000"/>
    <n v="33000"/>
    <m/>
    <s v="May"/>
    <s v="Mon"/>
  </r>
  <r>
    <d v="2026-05-11T00:00:00"/>
    <x v="2"/>
    <n v="1"/>
    <n v="15000"/>
    <n v="15000"/>
    <m/>
    <s v="May"/>
    <s v="Mon"/>
  </r>
  <r>
    <d v="2026-05-11T00:00:00"/>
    <x v="34"/>
    <n v="1"/>
    <n v="30000"/>
    <n v="30000"/>
    <m/>
    <s v="May"/>
    <s v="Mon"/>
  </r>
  <r>
    <d v="2026-05-11T00:00:00"/>
    <x v="35"/>
    <n v="1"/>
    <n v="15000"/>
    <n v="15000"/>
    <m/>
    <s v="May"/>
    <s v="Mon"/>
  </r>
  <r>
    <d v="2026-05-11T00:00:00"/>
    <x v="2"/>
    <n v="1"/>
    <n v="15000"/>
    <n v="15000"/>
    <m/>
    <s v="May"/>
    <s v="Mon"/>
  </r>
  <r>
    <d v="2026-05-11T00:00:00"/>
    <x v="36"/>
    <n v="1"/>
    <n v="10000"/>
    <n v="10000"/>
    <m/>
    <s v="May"/>
    <s v="Mon"/>
  </r>
  <r>
    <d v="2026-05-12T00:00:00"/>
    <x v="2"/>
    <n v="1"/>
    <n v="18000"/>
    <n v="18000"/>
    <m/>
    <s v="May"/>
    <s v="Tue"/>
  </r>
  <r>
    <d v="2026-05-12T00:00:00"/>
    <x v="37"/>
    <n v="1"/>
    <n v="85000"/>
    <n v="85000"/>
    <m/>
    <s v="May"/>
    <s v="Tue"/>
  </r>
  <r>
    <d v="2026-05-12T00:00:00"/>
    <x v="7"/>
    <n v="1"/>
    <n v="10000"/>
    <n v="10000"/>
    <m/>
    <s v="May"/>
    <s v="Tue"/>
  </r>
  <r>
    <d v="2026-05-12T00:00:00"/>
    <x v="2"/>
    <n v="1"/>
    <n v="18000"/>
    <n v="18000"/>
    <m/>
    <s v="May"/>
    <s v="Tue"/>
  </r>
  <r>
    <d v="2026-05-13T00:00:00"/>
    <x v="7"/>
    <n v="1"/>
    <n v="10000"/>
    <n v="10000"/>
    <m/>
    <s v="May"/>
    <s v="Wed"/>
  </r>
  <r>
    <d v="2026-05-13T00:00:00"/>
    <x v="10"/>
    <n v="1"/>
    <n v="20000"/>
    <n v="20000"/>
    <m/>
    <s v="May"/>
    <s v="Wed"/>
  </r>
  <r>
    <d v="2026-05-13T00:00:00"/>
    <x v="38"/>
    <n v="1"/>
    <n v="30000"/>
    <n v="30000"/>
    <m/>
    <s v="May"/>
    <s v="Wed"/>
  </r>
  <r>
    <d v="2026-05-13T00:00:00"/>
    <x v="39"/>
    <n v="1"/>
    <n v="80000"/>
    <n v="80000"/>
    <s v="Tf"/>
    <s v="May"/>
    <s v="Wed"/>
  </r>
  <r>
    <d v="2026-05-13T00:00:00"/>
    <x v="40"/>
    <n v="1"/>
    <n v="130000"/>
    <n v="130000"/>
    <m/>
    <s v="May"/>
    <s v="Wed"/>
  </r>
  <r>
    <d v="2026-05-13T00:00:00"/>
    <x v="41"/>
    <n v="1"/>
    <n v="15000"/>
    <n v="15000"/>
    <m/>
    <s v="May"/>
    <s v="Wed"/>
  </r>
  <r>
    <d v="2026-05-13T00:00:00"/>
    <x v="42"/>
    <n v="1"/>
    <n v="10000"/>
    <n v="10000"/>
    <m/>
    <s v="May"/>
    <s v="Wed"/>
  </r>
  <r>
    <d v="2026-05-13T00:00:00"/>
    <x v="43"/>
    <n v="1"/>
    <n v="15000"/>
    <n v="15000"/>
    <m/>
    <s v="May"/>
    <s v="Wed"/>
  </r>
  <r>
    <d v="2026-05-13T00:00:00"/>
    <x v="44"/>
    <n v="1"/>
    <n v="12000"/>
    <n v="12000"/>
    <m/>
    <s v="May"/>
    <s v="Wed"/>
  </r>
  <r>
    <d v="2026-05-13T00:00:00"/>
    <x v="45"/>
    <n v="1"/>
    <n v="17000"/>
    <n v="17000"/>
    <m/>
    <s v="May"/>
    <s v="Wed"/>
  </r>
  <r>
    <d v="2026-05-14T00:00:00"/>
    <x v="19"/>
    <n v="2"/>
    <n v="5000"/>
    <n v="10000"/>
    <m/>
    <s v="May"/>
    <s v="Thu"/>
  </r>
  <r>
    <d v="2026-05-14T00:00:00"/>
    <x v="46"/>
    <n v="1"/>
    <n v="25000"/>
    <n v="25000"/>
    <m/>
    <s v="May"/>
    <s v="Thu"/>
  </r>
  <r>
    <d v="2026-05-14T00:00:00"/>
    <x v="47"/>
    <n v="1"/>
    <n v="25000"/>
    <n v="25000"/>
    <m/>
    <s v="May"/>
    <s v="Thu"/>
  </r>
  <r>
    <d v="2026-05-14T00:00:00"/>
    <x v="48"/>
    <n v="1"/>
    <n v="125000"/>
    <n v="125000"/>
    <m/>
    <s v="May"/>
    <s v="Thu"/>
  </r>
  <r>
    <d v="2026-05-14T00:00:00"/>
    <x v="44"/>
    <n v="1"/>
    <n v="15000"/>
    <n v="15000"/>
    <m/>
    <s v="May"/>
    <s v="Thu"/>
  </r>
  <r>
    <d v="2026-05-15T00:00:00"/>
    <x v="26"/>
    <n v="1"/>
    <n v="10000"/>
    <n v="10000"/>
    <m/>
    <s v="May"/>
    <s v="Fri"/>
  </r>
  <r>
    <d v="2026-05-15T00:00:00"/>
    <x v="49"/>
    <n v="1"/>
    <n v="37000"/>
    <n v="37000"/>
    <m/>
    <s v="May"/>
    <s v="Fri"/>
  </r>
  <r>
    <d v="2026-05-16T00:00:00"/>
    <x v="11"/>
    <n v="1"/>
    <n v="52000"/>
    <n v="52000"/>
    <m/>
    <s v="May"/>
    <s v="Sat"/>
  </r>
  <r>
    <d v="2026-05-16T00:00:00"/>
    <x v="50"/>
    <n v="1"/>
    <n v="30000"/>
    <n v="30000"/>
    <m/>
    <s v="May"/>
    <s v="Sat"/>
  </r>
  <r>
    <d v="2026-05-16T00:00:00"/>
    <x v="51"/>
    <n v="1"/>
    <n v="10000"/>
    <n v="10000"/>
    <m/>
    <s v="May"/>
    <s v="Sat"/>
  </r>
  <r>
    <d v="2026-05-16T00:00:00"/>
    <x v="7"/>
    <n v="1"/>
    <n v="10000"/>
    <n v="10000"/>
    <m/>
    <s v="May"/>
    <s v="Sat"/>
  </r>
  <r>
    <d v="2026-05-16T00:00:00"/>
    <x v="0"/>
    <n v="1"/>
    <n v="10000"/>
    <n v="10000"/>
    <m/>
    <s v="May"/>
    <s v="Sat"/>
  </r>
  <r>
    <d v="2026-05-16T00:00:00"/>
    <x v="8"/>
    <n v="1"/>
    <n v="10000"/>
    <n v="10000"/>
    <m/>
    <s v="May"/>
    <s v="Sat"/>
  </r>
  <r>
    <d v="2026-05-16T00:00:00"/>
    <x v="52"/>
    <n v="1"/>
    <n v="10000"/>
    <n v="10000"/>
    <m/>
    <s v="May"/>
    <s v="Sat"/>
  </r>
  <r>
    <d v="2026-05-16T00:00:00"/>
    <x v="53"/>
    <n v="1"/>
    <n v="20000"/>
    <n v="20000"/>
    <m/>
    <s v="May"/>
    <s v="Sat"/>
  </r>
  <r>
    <d v="2026-05-16T00:00:00"/>
    <x v="0"/>
    <n v="1"/>
    <n v="10000"/>
    <n v="10000"/>
    <m/>
    <s v="May"/>
    <s v="Sat"/>
  </r>
  <r>
    <d v="2026-05-18T00:00:00"/>
    <x v="54"/>
    <n v="2"/>
    <n v="5000"/>
    <n v="10000"/>
    <m/>
    <s v="May"/>
    <s v="Mon"/>
  </r>
  <r>
    <d v="2026-05-18T00:00:00"/>
    <x v="2"/>
    <n v="5"/>
    <n v="21000"/>
    <n v="105000"/>
    <m/>
    <s v="May"/>
    <s v="Mon"/>
  </r>
  <r>
    <d v="2026-05-18T00:00:00"/>
    <x v="21"/>
    <n v="7"/>
    <n v="5000"/>
    <n v="35000"/>
    <m/>
    <s v="May"/>
    <s v="Mon"/>
  </r>
  <r>
    <d v="2026-05-18T00:00:00"/>
    <x v="55"/>
    <n v="1"/>
    <n v="20000"/>
    <n v="20000"/>
    <m/>
    <s v="May"/>
    <s v="Mon"/>
  </r>
  <r>
    <d v="2026-05-18T00:00:00"/>
    <x v="16"/>
    <n v="1"/>
    <n v="40000"/>
    <n v="40000"/>
    <m/>
    <s v="May"/>
    <s v="Mon"/>
  </r>
  <r>
    <d v="2026-05-18T00:00:00"/>
    <x v="56"/>
    <n v="2"/>
    <n v="40000"/>
    <n v="80000"/>
    <m/>
    <s v="May"/>
    <s v="Mon"/>
  </r>
  <r>
    <d v="2026-05-18T00:00:00"/>
    <x v="57"/>
    <n v="1"/>
    <n v="30000"/>
    <n v="30000"/>
    <m/>
    <s v="May"/>
    <s v="Mon"/>
  </r>
  <r>
    <d v="2026-05-18T00:00:00"/>
    <x v="15"/>
    <n v="1"/>
    <n v="45000"/>
    <n v="45000"/>
    <m/>
    <s v="May"/>
    <s v="Mon"/>
  </r>
  <r>
    <d v="2026-05-18T00:00:00"/>
    <x v="34"/>
    <n v="1"/>
    <n v="30000"/>
    <n v="30000"/>
    <m/>
    <s v="May"/>
    <s v="Mon"/>
  </r>
  <r>
    <d v="2026-05-18T00:00:00"/>
    <x v="58"/>
    <n v="2"/>
    <n v="10000"/>
    <n v="20000"/>
    <m/>
    <s v="May"/>
    <s v="Mon"/>
  </r>
  <r>
    <d v="2026-05-19T00:00:00"/>
    <x v="59"/>
    <n v="1"/>
    <n v="20000"/>
    <n v="20000"/>
    <m/>
    <s v="May"/>
    <s v="Tue"/>
  </r>
  <r>
    <d v="2026-05-20T00:00:00"/>
    <x v="60"/>
    <n v="1"/>
    <n v="42000"/>
    <n v="42000"/>
    <m/>
    <s v="May"/>
    <s v="Wed"/>
  </r>
  <r>
    <d v="2026-05-20T00:00:00"/>
    <x v="61"/>
    <n v="1"/>
    <n v="115000"/>
    <n v="115000"/>
    <s v="Tf"/>
    <s v="May"/>
    <s v="Wed"/>
  </r>
  <r>
    <d v="2026-05-20T00:00:00"/>
    <x v="62"/>
    <n v="1"/>
    <n v="65000"/>
    <n v="65000"/>
    <m/>
    <s v="May"/>
    <s v="Wed"/>
  </r>
  <r>
    <d v="2026-05-20T00:00:00"/>
    <x v="63"/>
    <n v="2"/>
    <n v="25000"/>
    <n v="50000"/>
    <m/>
    <s v="May"/>
    <s v="Wed"/>
  </r>
  <r>
    <d v="2026-05-20T00:00:00"/>
    <x v="64"/>
    <n v="1"/>
    <n v="35000"/>
    <n v="35000"/>
    <m/>
    <s v="May"/>
    <s v="Wed"/>
  </r>
  <r>
    <d v="2026-05-20T00:00:00"/>
    <x v="65"/>
    <n v="1"/>
    <n v="22500"/>
    <n v="22500"/>
    <m/>
    <s v="May"/>
    <s v="Wed"/>
  </r>
  <r>
    <d v="2026-05-20T00:00:00"/>
    <x v="66"/>
    <n v="1"/>
    <n v="40000"/>
    <n v="40000"/>
    <m/>
    <s v="May"/>
    <s v="Wed"/>
  </r>
  <r>
    <d v="2026-05-20T00:00:00"/>
    <x v="67"/>
    <n v="1"/>
    <n v="30000"/>
    <n v="30000"/>
    <m/>
    <s v="May"/>
    <s v="Wed"/>
  </r>
  <r>
    <d v="2026-05-20T00:00:00"/>
    <x v="68"/>
    <n v="1"/>
    <n v="70000"/>
    <n v="70000"/>
    <m/>
    <s v="May"/>
    <s v="Wed"/>
  </r>
  <r>
    <d v="2026-05-20T00:00:00"/>
    <x v="69"/>
    <n v="1"/>
    <n v="135000"/>
    <n v="135000"/>
    <m/>
    <s v="May"/>
    <s v="Wed"/>
  </r>
  <r>
    <d v="2026-05-20T00:00:00"/>
    <x v="70"/>
    <n v="1"/>
    <n v="180000"/>
    <n v="180000"/>
    <m/>
    <s v="May"/>
    <s v="Wed"/>
  </r>
  <r>
    <d v="2026-05-21T00:00:00"/>
    <x v="71"/>
    <n v="2"/>
    <n v="112000"/>
    <n v="224000"/>
    <m/>
    <s v="May"/>
    <s v="Thu"/>
  </r>
  <r>
    <d v="2026-05-21T00:00:00"/>
    <x v="72"/>
    <n v="1"/>
    <n v="50000"/>
    <n v="50000"/>
    <m/>
    <s v="May"/>
    <s v="Thu"/>
  </r>
  <r>
    <d v="2026-05-21T00:00:00"/>
    <x v="3"/>
    <n v="2"/>
    <n v="25000"/>
    <n v="50000"/>
    <m/>
    <s v="May"/>
    <s v="Thu"/>
  </r>
  <r>
    <d v="2026-05-21T00:00:00"/>
    <x v="73"/>
    <n v="1"/>
    <n v="15000"/>
    <n v="15000"/>
    <m/>
    <s v="May"/>
    <s v="Thu"/>
  </r>
  <r>
    <d v="2026-05-21T00:00:00"/>
    <x v="74"/>
    <n v="2"/>
    <n v="15000"/>
    <n v="30000"/>
    <m/>
    <s v="May"/>
    <s v="Thu"/>
  </r>
  <r>
    <d v="2026-05-21T00:00:00"/>
    <x v="75"/>
    <n v="1"/>
    <n v="42000"/>
    <n v="42000"/>
    <m/>
    <s v="May"/>
    <s v="Thu"/>
  </r>
  <r>
    <d v="2026-05-21T00:00:00"/>
    <x v="76"/>
    <n v="2"/>
    <n v="15000"/>
    <n v="30000"/>
    <m/>
    <s v="May"/>
    <s v="Thu"/>
  </r>
  <r>
    <d v="2026-05-21T00:00:00"/>
    <x v="77"/>
    <n v="1"/>
    <n v="45000"/>
    <n v="45000"/>
    <m/>
    <s v="May"/>
    <s v="Thu"/>
  </r>
  <r>
    <d v="2026-05-22T00:00:00"/>
    <x v="47"/>
    <n v="1"/>
    <n v="25000"/>
    <n v="25000"/>
    <m/>
    <s v="May"/>
    <s v="Fri"/>
  </r>
  <r>
    <d v="2026-05-22T00:00:00"/>
    <x v="2"/>
    <n v="1"/>
    <n v="25000"/>
    <n v="25000"/>
    <m/>
    <s v="May"/>
    <s v="Fri"/>
  </r>
  <r>
    <d v="2026-05-22T00:00:00"/>
    <x v="78"/>
    <n v="2"/>
    <n v="5000"/>
    <n v="10000"/>
    <m/>
    <s v="May"/>
    <s v="Fri"/>
  </r>
  <r>
    <d v="2026-05-22T00:00:00"/>
    <x v="2"/>
    <n v="1"/>
    <n v="25000"/>
    <n v="25000"/>
    <m/>
    <s v="May"/>
    <s v="Fri"/>
  </r>
  <r>
    <d v="2026-05-22T00:00:00"/>
    <x v="79"/>
    <n v="1"/>
    <n v="35000"/>
    <n v="35000"/>
    <m/>
    <s v="May"/>
    <s v="Fri"/>
  </r>
  <r>
    <d v="2026-05-23T00:00:00"/>
    <x v="80"/>
    <n v="1"/>
    <n v="32000"/>
    <n v="32000"/>
    <m/>
    <s v="May"/>
    <s v="Sat"/>
  </r>
  <r>
    <d v="2026-05-23T00:00:00"/>
    <x v="81"/>
    <n v="1"/>
    <n v="10000"/>
    <n v="10000"/>
    <m/>
    <s v="May"/>
    <s v="Sat"/>
  </r>
  <r>
    <d v="2026-05-23T00:00:00"/>
    <x v="82"/>
    <n v="1"/>
    <n v="53000"/>
    <n v="53000"/>
    <m/>
    <s v="May"/>
    <s v="Sat"/>
  </r>
  <r>
    <d v="2026-05-23T00:00:00"/>
    <x v="58"/>
    <n v="1"/>
    <n v="10000"/>
    <n v="10000"/>
    <m/>
    <s v="May"/>
    <s v="Sat"/>
  </r>
  <r>
    <d v="2026-05-23T00:00:00"/>
    <x v="74"/>
    <n v="1"/>
    <n v="15000"/>
    <n v="15000"/>
    <m/>
    <s v="May"/>
    <s v="Sat"/>
  </r>
  <r>
    <d v="2026-05-25T00:00:00"/>
    <x v="2"/>
    <n v="1"/>
    <n v="25000"/>
    <n v="25000"/>
    <m/>
    <s v="May"/>
    <s v="Mon"/>
  </r>
  <r>
    <d v="2026-05-30T00:00:00"/>
    <x v="83"/>
    <n v="1"/>
    <n v="80000"/>
    <n v="80000"/>
    <m/>
    <s v="May"/>
    <s v="Sat"/>
  </r>
  <r>
    <d v="2026-05-30T00:00:00"/>
    <x v="0"/>
    <n v="1"/>
    <n v="10000"/>
    <n v="10000"/>
    <m/>
    <s v="May"/>
    <s v="Sat"/>
  </r>
  <r>
    <d v="2026-05-30T00:00:00"/>
    <x v="84"/>
    <n v="1"/>
    <n v="5000"/>
    <n v="5000"/>
    <m/>
    <s v="May"/>
    <s v="Sat"/>
  </r>
  <r>
    <d v="2026-05-30T00:00:00"/>
    <x v="7"/>
    <n v="1"/>
    <n v="10000"/>
    <n v="10000"/>
    <m/>
    <s v="May"/>
    <s v="Sat"/>
  </r>
  <r>
    <d v="2026-05-30T00:00:00"/>
    <x v="85"/>
    <n v="1"/>
    <n v="15000"/>
    <n v="15000"/>
    <m/>
    <s v="May"/>
    <s v="Sat"/>
  </r>
  <r>
    <d v="2026-05-30T00:00:00"/>
    <x v="7"/>
    <n v="1"/>
    <n v="10000"/>
    <n v="10000"/>
    <m/>
    <s v="May"/>
    <s v="Sat"/>
  </r>
  <r>
    <d v="2026-05-30T00:00:00"/>
    <x v="75"/>
    <n v="1"/>
    <n v="42000"/>
    <n v="42000"/>
    <m/>
    <s v="May"/>
    <s v="Sat"/>
  </r>
  <r>
    <d v="2026-05-30T00:00:00"/>
    <x v="14"/>
    <n v="1"/>
    <n v="15000"/>
    <n v="15000"/>
    <m/>
    <s v="May"/>
    <s v="Sat"/>
  </r>
  <r>
    <d v="2026-05-30T00:00:00"/>
    <x v="86"/>
    <n v="1"/>
    <n v="10000"/>
    <n v="10000"/>
    <m/>
    <s v="May"/>
    <s v="Sat"/>
  </r>
  <r>
    <d v="2026-05-30T00:00:00"/>
    <x v="87"/>
    <n v="1"/>
    <n v="10000"/>
    <n v="10000"/>
    <m/>
    <s v="May"/>
    <s v="Sat"/>
  </r>
  <r>
    <d v="2026-05-30T00:00:00"/>
    <x v="26"/>
    <n v="1"/>
    <n v="10000"/>
    <n v="10000"/>
    <m/>
    <s v="May"/>
    <s v="Sat"/>
  </r>
  <r>
    <d v="2026-05-30T00:00:00"/>
    <x v="88"/>
    <n v="1"/>
    <n v="25000"/>
    <n v="25000"/>
    <m/>
    <s v="May"/>
    <s v="Sat"/>
  </r>
  <r>
    <d v="2026-05-30T00:00:00"/>
    <x v="89"/>
    <n v="1"/>
    <n v="80000"/>
    <n v="80000"/>
    <m/>
    <s v="May"/>
    <s v="Sat"/>
  </r>
  <r>
    <d v="2026-05-30T00:00:00"/>
    <x v="90"/>
    <n v="1"/>
    <n v="175000"/>
    <n v="175000"/>
    <m/>
    <s v="May"/>
    <s v="Sat"/>
  </r>
  <r>
    <d v="2026-05-30T00:00:00"/>
    <x v="91"/>
    <n v="1"/>
    <n v="180000"/>
    <n v="180000"/>
    <m/>
    <s v="May"/>
    <s v="Sat"/>
  </r>
  <r>
    <d v="2026-05-30T00:00:00"/>
    <x v="0"/>
    <n v="1"/>
    <n v="10000"/>
    <n v="10000"/>
    <m/>
    <s v="May"/>
    <s v="Sat"/>
  </r>
  <r>
    <d v="2026-05-30T00:00:00"/>
    <x v="53"/>
    <n v="1"/>
    <n v="20000"/>
    <n v="20000"/>
    <m/>
    <s v="May"/>
    <s v="Sat"/>
  </r>
  <r>
    <d v="2026-06-01T00:00:00"/>
    <x v="63"/>
    <n v="1"/>
    <n v="25000"/>
    <n v="25000"/>
    <m/>
    <s v="Jun"/>
    <s v="Mon"/>
  </r>
  <r>
    <d v="2026-06-01T00:00:00"/>
    <x v="75"/>
    <n v="1"/>
    <n v="42000"/>
    <n v="42000"/>
    <m/>
    <s v="Jun"/>
    <s v="Mon"/>
  </r>
  <r>
    <d v="2026-06-01T00:00:00"/>
    <x v="2"/>
    <n v="1"/>
    <n v="25000"/>
    <n v="25000"/>
    <m/>
    <s v="Jun"/>
    <s v="Mon"/>
  </r>
  <r>
    <d v="2026-06-01T00:00:00"/>
    <x v="58"/>
    <n v="1"/>
    <n v="10000"/>
    <n v="10000"/>
    <m/>
    <s v="Jun"/>
    <s v="Mon"/>
  </r>
  <r>
    <d v="2026-06-02T00:00:00"/>
    <x v="92"/>
    <n v="1"/>
    <n v="32000"/>
    <n v="32000"/>
    <m/>
    <s v="Jun"/>
    <s v="Tue"/>
  </r>
  <r>
    <d v="2026-06-02T00:00:00"/>
    <x v="93"/>
    <n v="1"/>
    <n v="34000"/>
    <n v="34000"/>
    <m/>
    <s v="Jun"/>
    <s v="Tue"/>
  </r>
  <r>
    <d v="2026-06-02T00:00:00"/>
    <x v="94"/>
    <n v="1"/>
    <n v="36000"/>
    <n v="36000"/>
    <m/>
    <s v="Jun"/>
    <s v="Tue"/>
  </r>
  <r>
    <d v="2026-06-02T00:00:00"/>
    <x v="95"/>
    <n v="1"/>
    <n v="45000"/>
    <n v="45000"/>
    <m/>
    <s v="Jun"/>
    <s v="Tue"/>
  </r>
  <r>
    <d v="2026-06-02T00:00:00"/>
    <x v="2"/>
    <n v="1"/>
    <n v="25000"/>
    <n v="25000"/>
    <m/>
    <s v="Jun"/>
    <s v="Tue"/>
  </r>
  <r>
    <d v="2026-06-02T00:00:00"/>
    <x v="96"/>
    <n v="1"/>
    <n v="10000"/>
    <n v="10000"/>
    <m/>
    <s v="Jun"/>
    <s v="Tue"/>
  </r>
  <r>
    <d v="2026-06-02T00:00:00"/>
    <x v="97"/>
    <n v="1"/>
    <n v="15000"/>
    <n v="15000"/>
    <m/>
    <s v="Jun"/>
    <s v="Tue"/>
  </r>
  <r>
    <d v="2026-06-02T00:00:00"/>
    <x v="14"/>
    <n v="1"/>
    <n v="15000"/>
    <n v="15000"/>
    <m/>
    <s v="Jun"/>
    <s v="Tue"/>
  </r>
  <r>
    <d v="2026-06-02T00:00:00"/>
    <x v="98"/>
    <n v="1"/>
    <n v="37000"/>
    <n v="37000"/>
    <m/>
    <s v="Jun"/>
    <s v="Tue"/>
  </r>
  <r>
    <d v="2026-06-02T00:00:00"/>
    <x v="38"/>
    <n v="1"/>
    <n v="33000"/>
    <n v="33000"/>
    <m/>
    <s v="Jun"/>
    <s v="Tue"/>
  </r>
  <r>
    <d v="2026-06-02T00:00:00"/>
    <x v="7"/>
    <n v="1"/>
    <n v="10000"/>
    <n v="10000"/>
    <m/>
    <s v="Jun"/>
    <s v="Tue"/>
  </r>
  <r>
    <d v="2026-06-02T00:00:00"/>
    <x v="8"/>
    <n v="1"/>
    <n v="10000"/>
    <n v="10000"/>
    <m/>
    <s v="Jun"/>
    <s v="Tue"/>
  </r>
  <r>
    <d v="2026-06-02T00:00:00"/>
    <x v="0"/>
    <n v="2"/>
    <n v="10000"/>
    <n v="20000"/>
    <m/>
    <s v="Jun"/>
    <s v="Tue"/>
  </r>
  <r>
    <d v="2026-06-02T00:00:00"/>
    <x v="6"/>
    <n v="3"/>
    <n v="26000"/>
    <n v="78000"/>
    <m/>
    <s v="Jun"/>
    <s v="Tue"/>
  </r>
  <r>
    <d v="2026-06-03T00:00:00"/>
    <x v="99"/>
    <n v="1"/>
    <n v="125000"/>
    <n v="125000"/>
    <m/>
    <s v="Jun"/>
    <s v="Wed"/>
  </r>
  <r>
    <d v="2026-06-03T00:00:00"/>
    <x v="100"/>
    <n v="1"/>
    <n v="55000"/>
    <n v="55000"/>
    <m/>
    <s v="Jun"/>
    <s v="Wed"/>
  </r>
  <r>
    <d v="2026-06-03T00:00:00"/>
    <x v="34"/>
    <n v="1"/>
    <n v="30000"/>
    <n v="30000"/>
    <m/>
    <s v="Jun"/>
    <s v="Wed"/>
  </r>
  <r>
    <d v="2026-06-03T00:00:00"/>
    <x v="6"/>
    <n v="1"/>
    <n v="26000"/>
    <n v="26000"/>
    <m/>
    <s v="Jun"/>
    <s v="Wed"/>
  </r>
  <r>
    <d v="2026-06-03T00:00:00"/>
    <x v="41"/>
    <n v="1"/>
    <n v="15000"/>
    <n v="15000"/>
    <m/>
    <s v="Jun"/>
    <s v="Wed"/>
  </r>
  <r>
    <d v="2026-06-03T00:00:00"/>
    <x v="2"/>
    <n v="1"/>
    <n v="25000"/>
    <n v="25000"/>
    <m/>
    <s v="Jun"/>
    <s v="Wed"/>
  </r>
  <r>
    <d v="2026-06-03T00:00:00"/>
    <x v="101"/>
    <n v="1"/>
    <n v="28000"/>
    <n v="28000"/>
    <m/>
    <s v="Jun"/>
    <s v="Wed"/>
  </r>
  <r>
    <d v="2026-06-03T00:00:00"/>
    <x v="102"/>
    <n v="1"/>
    <n v="27000"/>
    <n v="27000"/>
    <m/>
    <s v="Jun"/>
    <s v="Wed"/>
  </r>
  <r>
    <d v="2026-06-03T00:00:00"/>
    <x v="103"/>
    <n v="1"/>
    <n v="10000"/>
    <n v="10000"/>
    <m/>
    <s v="Jun"/>
    <s v="Wed"/>
  </r>
  <r>
    <d v="2026-06-03T00:00:00"/>
    <x v="5"/>
    <n v="1"/>
    <n v="42000"/>
    <n v="42000"/>
    <s v="Tf"/>
    <s v="Jun"/>
    <s v="Wed"/>
  </r>
  <r>
    <d v="2026-06-04T00:00:00"/>
    <x v="104"/>
    <n v="1"/>
    <n v="38500"/>
    <n v="38500"/>
    <m/>
    <s v="Jun"/>
    <s v="Thu"/>
  </r>
  <r>
    <d v="2026-06-04T00:00:00"/>
    <x v="23"/>
    <n v="5"/>
    <n v="6000"/>
    <n v="30000"/>
    <m/>
    <s v="Jun"/>
    <s v="Thu"/>
  </r>
  <r>
    <d v="2026-06-04T00:00:00"/>
    <x v="7"/>
    <n v="2"/>
    <n v="10000"/>
    <n v="20000"/>
    <m/>
    <s v="Jun"/>
    <s v="Thu"/>
  </r>
  <r>
    <d v="2026-06-05T00:00:00"/>
    <x v="105"/>
    <n v="1"/>
    <n v="35000"/>
    <n v="35000"/>
    <m/>
    <s v="Jun"/>
    <s v="Fri"/>
  </r>
  <r>
    <d v="2026-06-05T00:00:00"/>
    <x v="106"/>
    <n v="1"/>
    <n v="175000"/>
    <n v="175000"/>
    <m/>
    <s v="Jun"/>
    <s v="Fri"/>
  </r>
  <r>
    <d v="2026-06-05T00:00:00"/>
    <x v="76"/>
    <n v="1"/>
    <n v="15000"/>
    <n v="15000"/>
    <m/>
    <s v="Jun"/>
    <s v="Fri"/>
  </r>
  <r>
    <d v="2026-06-05T00:00:00"/>
    <x v="107"/>
    <n v="4"/>
    <n v="25000"/>
    <n v="100000"/>
    <m/>
    <s v="Jun"/>
    <s v="Fri"/>
  </r>
  <r>
    <d v="2026-06-05T00:00:00"/>
    <x v="108"/>
    <n v="1"/>
    <n v="15000"/>
    <n v="15000"/>
    <m/>
    <s v="Jun"/>
    <s v="Fri"/>
  </r>
  <r>
    <d v="2026-06-05T00:00:00"/>
    <x v="3"/>
    <n v="1"/>
    <n v="25000"/>
    <n v="25000"/>
    <s v="Tf"/>
    <s v="Jun"/>
    <s v="Fri"/>
  </r>
  <r>
    <d v="2026-06-05T00:00:00"/>
    <x v="2"/>
    <n v="1"/>
    <n v="25000"/>
    <n v="25000"/>
    <m/>
    <s v="Jun"/>
    <s v="Fri"/>
  </r>
  <r>
    <d v="2026-06-05T00:00:00"/>
    <x v="11"/>
    <n v="1"/>
    <n v="55000"/>
    <n v="55000"/>
    <m/>
    <s v="Jun"/>
    <s v="Fri"/>
  </r>
  <r>
    <d v="2026-06-06T00:00:00"/>
    <x v="40"/>
    <n v="1"/>
    <n v="130000"/>
    <n v="130000"/>
    <m/>
    <s v="Jun"/>
    <s v="Sat"/>
  </r>
  <r>
    <d v="2026-06-06T00:00:00"/>
    <x v="109"/>
    <n v="1"/>
    <n v="80000"/>
    <n v="80000"/>
    <m/>
    <s v="Jun"/>
    <s v="Sat"/>
  </r>
  <r>
    <d v="2026-06-06T00:00:00"/>
    <x v="110"/>
    <n v="1"/>
    <n v="100000"/>
    <n v="100000"/>
    <m/>
    <s v="Jun"/>
    <s v="Sat"/>
  </r>
  <r>
    <d v="2026-06-06T00:00:00"/>
    <x v="3"/>
    <n v="1"/>
    <n v="25000"/>
    <n v="25000"/>
    <m/>
    <s v="Jun"/>
    <s v="Sat"/>
  </r>
  <r>
    <d v="2026-06-06T00:00:00"/>
    <x v="2"/>
    <n v="1"/>
    <n v="25000"/>
    <n v="25000"/>
    <m/>
    <s v="Jun"/>
    <s v="Sat"/>
  </r>
  <r>
    <d v="2026-06-06T00:00:00"/>
    <x v="78"/>
    <n v="2"/>
    <n v="5000"/>
    <n v="10000"/>
    <m/>
    <s v="Jun"/>
    <s v="Sat"/>
  </r>
  <r>
    <d v="2026-06-06T00:00:00"/>
    <x v="111"/>
    <n v="1"/>
    <n v="30000"/>
    <n v="30000"/>
    <m/>
    <s v="Jun"/>
    <s v="Sat"/>
  </r>
  <r>
    <d v="2026-06-06T00:00:00"/>
    <x v="2"/>
    <n v="1"/>
    <n v="25000"/>
    <n v="25000"/>
    <m/>
    <s v="Jun"/>
    <s v="Sat"/>
  </r>
  <r>
    <d v="2026-06-06T00:00:00"/>
    <x v="112"/>
    <n v="1"/>
    <n v="25000"/>
    <n v="25000"/>
    <m/>
    <s v="Jun"/>
    <s v="Sat"/>
  </r>
  <r>
    <d v="2026-06-06T00:00:00"/>
    <x v="113"/>
    <n v="1"/>
    <n v="50000"/>
    <n v="50000"/>
    <m/>
    <s v="Jun"/>
    <s v="Sat"/>
  </r>
  <r>
    <d v="2026-06-09T00:00:00"/>
    <x v="76"/>
    <n v="1"/>
    <n v="15000"/>
    <n v="15000"/>
    <m/>
    <s v="Jun"/>
    <s v="Tue"/>
  </r>
  <r>
    <d v="2026-06-09T00:00:00"/>
    <x v="44"/>
    <n v="1"/>
    <n v="10000"/>
    <n v="10000"/>
    <m/>
    <s v="Jun"/>
    <s v="Tue"/>
  </r>
  <r>
    <d v="2026-06-09T00:00:00"/>
    <x v="114"/>
    <n v="1"/>
    <n v="25000"/>
    <n v="25000"/>
    <m/>
    <s v="Jun"/>
    <s v="Tue"/>
  </r>
  <r>
    <d v="2026-06-09T00:00:00"/>
    <x v="115"/>
    <n v="1"/>
    <n v="60000"/>
    <n v="60000"/>
    <m/>
    <s v="Jun"/>
    <s v="Tue"/>
  </r>
  <r>
    <d v="2026-06-09T00:00:00"/>
    <x v="116"/>
    <n v="1"/>
    <n v="15000"/>
    <n v="15000"/>
    <m/>
    <s v="Jun"/>
    <s v="Tue"/>
  </r>
  <r>
    <d v="2026-06-09T00:00:00"/>
    <x v="35"/>
    <n v="2"/>
    <n v="7500"/>
    <n v="15000"/>
    <m/>
    <s v="Jun"/>
    <s v="Tue"/>
  </r>
  <r>
    <d v="2026-06-09T00:00:00"/>
    <x v="117"/>
    <n v="1"/>
    <n v="10000"/>
    <n v="10000"/>
    <m/>
    <s v="Jun"/>
    <s v="Tue"/>
  </r>
  <r>
    <d v="2026-06-09T00:00:00"/>
    <x v="118"/>
    <n v="1"/>
    <n v="25000"/>
    <n v="25000"/>
    <m/>
    <s v="Jun"/>
    <s v="Tue"/>
  </r>
  <r>
    <d v="2026-06-09T00:00:00"/>
    <x v="44"/>
    <n v="1"/>
    <n v="10000"/>
    <n v="10000"/>
    <m/>
    <s v="Jun"/>
    <s v="Tue"/>
  </r>
  <r>
    <d v="2026-06-09T00:00:00"/>
    <x v="119"/>
    <n v="3"/>
    <n v="5000"/>
    <n v="15000"/>
    <m/>
    <s v="Jun"/>
    <s v="Tue"/>
  </r>
  <r>
    <d v="2026-06-10T00:00:00"/>
    <x v="119"/>
    <n v="4"/>
    <n v="5000"/>
    <n v="20000"/>
    <m/>
    <s v="Jun"/>
    <s v="Wed"/>
  </r>
  <r>
    <d v="2026-06-10T00:00:00"/>
    <x v="105"/>
    <n v="1"/>
    <n v="35000"/>
    <n v="35000"/>
    <m/>
    <s v="Jun"/>
    <s v="Wed"/>
  </r>
  <r>
    <d v="2026-06-10T00:00:00"/>
    <x v="7"/>
    <n v="1"/>
    <n v="10000"/>
    <n v="10000"/>
    <m/>
    <s v="Jun"/>
    <s v="Wed"/>
  </r>
  <r>
    <d v="2026-06-10T00:00:00"/>
    <x v="3"/>
    <n v="1"/>
    <n v="25000"/>
    <n v="25000"/>
    <m/>
    <s v="Jun"/>
    <s v="Wed"/>
  </r>
  <r>
    <d v="2026-06-10T00:00:00"/>
    <x v="120"/>
    <n v="1"/>
    <n v="35000"/>
    <n v="35000"/>
    <m/>
    <s v="Jun"/>
    <s v="Wed"/>
  </r>
  <r>
    <d v="2026-06-10T00:00:00"/>
    <x v="121"/>
    <n v="2"/>
    <n v="15000"/>
    <n v="30000"/>
    <m/>
    <s v="Jun"/>
    <s v="Wed"/>
  </r>
  <r>
    <d v="2026-06-11T00:00:00"/>
    <x v="122"/>
    <n v="1"/>
    <n v="15000"/>
    <n v="15000"/>
    <m/>
    <s v="Jun"/>
    <s v="Thu"/>
  </r>
  <r>
    <d v="2026-06-11T00:00:00"/>
    <x v="25"/>
    <n v="1"/>
    <n v="15000"/>
    <n v="15000"/>
    <m/>
    <s v="Jun"/>
    <s v="Thu"/>
  </r>
  <r>
    <d v="2026-06-11T00:00:00"/>
    <x v="123"/>
    <n v="1"/>
    <n v="20000"/>
    <n v="20000"/>
    <m/>
    <s v="Jun"/>
    <s v="Thu"/>
  </r>
  <r>
    <d v="2026-06-11T00:00:00"/>
    <x v="124"/>
    <n v="2"/>
    <n v="3000"/>
    <n v="6000"/>
    <m/>
    <s v="Jun"/>
    <s v="Thu"/>
  </r>
  <r>
    <d v="2026-06-11T00:00:00"/>
    <x v="125"/>
    <n v="1"/>
    <n v="40000"/>
    <n v="40000"/>
    <m/>
    <s v="Jun"/>
    <s v="Thu"/>
  </r>
  <r>
    <d v="2026-06-11T00:00:00"/>
    <x v="126"/>
    <n v="1"/>
    <n v="40000"/>
    <n v="40000"/>
    <s v="Tf"/>
    <s v="Jun"/>
    <s v="Thu"/>
  </r>
  <r>
    <d v="2026-06-12T00:00:00"/>
    <x v="58"/>
    <n v="1"/>
    <n v="15000"/>
    <n v="15000"/>
    <m/>
    <s v="Jun"/>
    <s v="Fri"/>
  </r>
  <r>
    <d v="2026-06-12T00:00:00"/>
    <x v="127"/>
    <n v="1"/>
    <n v="10000"/>
    <n v="10000"/>
    <m/>
    <s v="Jun"/>
    <s v="Fri"/>
  </r>
  <r>
    <d v="2026-06-12T00:00:00"/>
    <x v="105"/>
    <n v="1"/>
    <n v="35000"/>
    <n v="35000"/>
    <m/>
    <s v="Jun"/>
    <s v="Fri"/>
  </r>
  <r>
    <d v="2026-06-12T00:00:00"/>
    <x v="128"/>
    <n v="1"/>
    <n v="17000"/>
    <n v="17000"/>
    <m/>
    <s v="Jun"/>
    <s v="Fri"/>
  </r>
  <r>
    <d v="2026-06-13T00:00:00"/>
    <x v="129"/>
    <n v="1"/>
    <n v="35000"/>
    <n v="35000"/>
    <m/>
    <s v="Jun"/>
    <s v="Sat"/>
  </r>
  <r>
    <d v="2026-06-13T00:00:00"/>
    <x v="130"/>
    <n v="1"/>
    <n v="15000"/>
    <n v="15000"/>
    <m/>
    <s v="Jun"/>
    <s v="Sat"/>
  </r>
  <r>
    <d v="2026-06-13T00:00:00"/>
    <x v="2"/>
    <n v="1"/>
    <n v="27000"/>
    <n v="27000"/>
    <m/>
    <s v="Jun"/>
    <s v="Sat"/>
  </r>
  <r>
    <d v="2026-06-13T00:00:00"/>
    <x v="131"/>
    <n v="1"/>
    <n v="100000"/>
    <n v="100000"/>
    <m/>
    <s v="Jun"/>
    <s v="Sat"/>
  </r>
  <r>
    <d v="2026-06-13T00:00:00"/>
    <x v="76"/>
    <n v="1"/>
    <n v="15000"/>
    <n v="15000"/>
    <m/>
    <s v="Jun"/>
    <s v="Sat"/>
  </r>
  <r>
    <d v="2026-06-13T00:00:00"/>
    <x v="27"/>
    <n v="1"/>
    <n v="25000"/>
    <n v="25000"/>
    <m/>
    <s v="Jun"/>
    <s v="Sat"/>
  </r>
  <r>
    <d v="2026-06-15T00:00:00"/>
    <x v="104"/>
    <n v="1"/>
    <n v="40000"/>
    <n v="40000"/>
    <m/>
    <s v="Jun"/>
    <s v="Mon"/>
  </r>
  <r>
    <d v="2026-06-15T00:00:00"/>
    <x v="132"/>
    <n v="1"/>
    <n v="63000"/>
    <n v="63000"/>
    <m/>
    <s v="Jun"/>
    <s v="Mon"/>
  </r>
  <r>
    <d v="2026-06-15T00:00:00"/>
    <x v="64"/>
    <n v="1"/>
    <n v="35000"/>
    <n v="35000"/>
    <m/>
    <s v="Jun"/>
    <s v="Mon"/>
  </r>
  <r>
    <d v="2026-06-15T00:00:00"/>
    <x v="66"/>
    <n v="1"/>
    <n v="42000"/>
    <n v="42000"/>
    <m/>
    <s v="Jun"/>
    <s v="Mon"/>
  </r>
  <r>
    <d v="2026-06-15T00:00:00"/>
    <x v="133"/>
    <n v="1"/>
    <n v="15000"/>
    <n v="15000"/>
    <m/>
    <s v="Jun"/>
    <s v="Mon"/>
  </r>
  <r>
    <d v="2026-06-15T00:00:00"/>
    <x v="8"/>
    <n v="1"/>
    <n v="10000"/>
    <n v="10000"/>
    <m/>
    <s v="Jun"/>
    <s v="Mon"/>
  </r>
  <r>
    <d v="2026-06-15T00:00:00"/>
    <x v="75"/>
    <n v="1"/>
    <n v="45000"/>
    <n v="45000"/>
    <m/>
    <s v="Jun"/>
    <s v="Mon"/>
  </r>
  <r>
    <d v="2026-06-15T00:00:00"/>
    <x v="26"/>
    <n v="1"/>
    <n v="12000"/>
    <n v="12000"/>
    <m/>
    <s v="Jun"/>
    <s v="Mon"/>
  </r>
  <r>
    <d v="2026-06-16T00:00:00"/>
    <x v="134"/>
    <n v="1"/>
    <n v="20000"/>
    <n v="20000"/>
    <m/>
    <s v="Jun"/>
    <s v="Tue"/>
  </r>
  <r>
    <d v="2026-06-17T00:00:00"/>
    <x v="135"/>
    <n v="1"/>
    <n v="20000"/>
    <n v="20000"/>
    <m/>
    <s v="Jun"/>
    <s v="Wed"/>
  </r>
  <r>
    <d v="2026-06-17T00:00:00"/>
    <x v="8"/>
    <n v="1"/>
    <n v="10000"/>
    <n v="10000"/>
    <m/>
    <s v="Jun"/>
    <s v="Wed"/>
  </r>
  <r>
    <d v="2026-06-17T00:00:00"/>
    <x v="136"/>
    <n v="1"/>
    <n v="35000"/>
    <n v="35000"/>
    <m/>
    <s v="Jun"/>
    <s v="Wed"/>
  </r>
  <r>
    <d v="2026-06-17T00:00:00"/>
    <x v="137"/>
    <n v="1"/>
    <n v="72000"/>
    <n v="72000"/>
    <m/>
    <s v="Jun"/>
    <s v="Wed"/>
  </r>
  <r>
    <d v="2026-06-17T00:00:00"/>
    <x v="2"/>
    <n v="1"/>
    <n v="27000"/>
    <n v="27000"/>
    <m/>
    <s v="Jun"/>
    <s v="Wed"/>
  </r>
  <r>
    <d v="2026-06-17T00:00:00"/>
    <x v="43"/>
    <n v="1"/>
    <n v="17000"/>
    <n v="17000"/>
    <m/>
    <s v="Jun"/>
    <s v="Wed"/>
  </r>
  <r>
    <d v="2026-06-17T00:00:00"/>
    <x v="85"/>
    <n v="1"/>
    <n v="17000"/>
    <n v="17000"/>
    <m/>
    <s v="Jun"/>
    <s v="Wed"/>
  </r>
  <r>
    <d v="2026-06-17T00:00:00"/>
    <x v="0"/>
    <n v="2"/>
    <n v="10000"/>
    <n v="20000"/>
    <m/>
    <s v="Jun"/>
    <s v="Wed"/>
  </r>
  <r>
    <d v="2026-06-17T00:00:00"/>
    <x v="8"/>
    <n v="1"/>
    <n v="10000"/>
    <n v="10000"/>
    <m/>
    <s v="Jun"/>
    <s v="Wed"/>
  </r>
  <r>
    <d v="2026-06-19T00:00:00"/>
    <x v="138"/>
    <n v="1"/>
    <n v="160000"/>
    <n v="160000"/>
    <m/>
    <s v="Jun"/>
    <s v="Fri"/>
  </r>
  <r>
    <d v="2026-06-19T00:00:00"/>
    <x v="75"/>
    <n v="1"/>
    <n v="45000"/>
    <n v="45000"/>
    <m/>
    <s v="Jun"/>
    <s v="Fri"/>
  </r>
  <r>
    <d v="2026-06-19T00:00:00"/>
    <x v="139"/>
    <n v="1"/>
    <n v="122000"/>
    <n v="122000"/>
    <m/>
    <s v="Jun"/>
    <s v="Fri"/>
  </r>
  <r>
    <d v="2026-06-19T00:00:00"/>
    <x v="43"/>
    <n v="1"/>
    <n v="17000"/>
    <n v="17000"/>
    <m/>
    <s v="Jun"/>
    <s v="Fri"/>
  </r>
  <r>
    <d v="2026-06-19T00:00:00"/>
    <x v="18"/>
    <n v="1"/>
    <n v="12000"/>
    <n v="12000"/>
    <m/>
    <s v="Jun"/>
    <s v="Fri"/>
  </r>
  <r>
    <d v="2026-06-19T00:00:00"/>
    <x v="140"/>
    <n v="1"/>
    <n v="12000"/>
    <n v="12000"/>
    <m/>
    <s v="Jun"/>
    <s v="Fri"/>
  </r>
  <r>
    <d v="2026-06-19T00:00:00"/>
    <x v="7"/>
    <n v="1"/>
    <n v="10000"/>
    <n v="10000"/>
    <m/>
    <s v="Jun"/>
    <s v="Fri"/>
  </r>
  <r>
    <d v="2026-06-19T00:00:00"/>
    <x v="78"/>
    <n v="1"/>
    <n v="5000"/>
    <n v="5000"/>
    <m/>
    <s v="Jun"/>
    <s v="Fri"/>
  </r>
  <r>
    <d v="2026-06-19T00:00:00"/>
    <x v="3"/>
    <n v="1"/>
    <n v="25000"/>
    <n v="25000"/>
    <m/>
    <s v="Jun"/>
    <s v="Fri"/>
  </r>
  <r>
    <d v="2026-06-19T00:00:00"/>
    <x v="141"/>
    <n v="1"/>
    <n v="15000"/>
    <n v="15000"/>
    <m/>
    <s v="Jun"/>
    <s v="Fri"/>
  </r>
  <r>
    <d v="2026-06-20T00:00:00"/>
    <x v="142"/>
    <n v="1"/>
    <n v="32000"/>
    <n v="32000"/>
    <m/>
    <s v="Jun"/>
    <s v="Sat"/>
  </r>
  <r>
    <d v="2026-06-20T00:00:00"/>
    <x v="143"/>
    <n v="1"/>
    <n v="32000"/>
    <n v="32000"/>
    <m/>
    <s v="Jun"/>
    <s v="Sat"/>
  </r>
  <r>
    <d v="2026-06-20T00:00:00"/>
    <x v="103"/>
    <n v="1"/>
    <n v="10000"/>
    <n v="10000"/>
    <m/>
    <s v="Jun"/>
    <s v="Sat"/>
  </r>
  <r>
    <d v="2026-06-20T00:00:00"/>
    <x v="144"/>
    <n v="1"/>
    <n v="83000"/>
    <n v="83000"/>
    <m/>
    <s v="Jun"/>
    <s v="Sat"/>
  </r>
  <r>
    <d v="2026-06-20T00:00:00"/>
    <x v="145"/>
    <n v="1"/>
    <n v="25000"/>
    <n v="25000"/>
    <m/>
    <s v="Jun"/>
    <s v="Sat"/>
  </r>
  <r>
    <d v="2026-06-20T00:00:00"/>
    <x v="146"/>
    <n v="1"/>
    <n v="25000"/>
    <n v="25000"/>
    <m/>
    <s v="Jun"/>
    <s v="Sat"/>
  </r>
  <r>
    <d v="2026-06-20T00:00:00"/>
    <x v="147"/>
    <n v="1"/>
    <n v="22000"/>
    <n v="22000"/>
    <m/>
    <s v="Jun"/>
    <s v="Sat"/>
  </r>
  <r>
    <d v="2026-06-20T00:00:00"/>
    <x v="148"/>
    <n v="2"/>
    <n v="5000"/>
    <n v="10000"/>
    <m/>
    <s v="Jun"/>
    <s v="Sat"/>
  </r>
  <r>
    <d v="2026-06-21T00:00:00"/>
    <x v="10"/>
    <n v="1"/>
    <n v="25000"/>
    <n v="25000"/>
    <m/>
    <s v="Jun"/>
    <s v="Sun"/>
  </r>
  <r>
    <d v="2026-06-21T00:00:00"/>
    <x v="2"/>
    <n v="1"/>
    <n v="25000"/>
    <n v="25000"/>
    <m/>
    <s v="Jun"/>
    <s v="Sun"/>
  </r>
  <r>
    <d v="2026-06-22T00:00:00"/>
    <x v="149"/>
    <n v="1"/>
    <n v="6000"/>
    <n v="6000"/>
    <m/>
    <s v="Jun"/>
    <s v="Mon"/>
  </r>
  <r>
    <d v="2026-06-24T00:00:00"/>
    <x v="150"/>
    <n v="1"/>
    <n v="32000"/>
    <n v="32000"/>
    <m/>
    <s v="Jun"/>
    <s v="Wed"/>
  </r>
  <r>
    <d v="2026-06-24T00:00:00"/>
    <x v="2"/>
    <n v="1"/>
    <n v="25000"/>
    <n v="25000"/>
    <m/>
    <s v="Jun"/>
    <s v="Wed"/>
  </r>
  <r>
    <d v="2026-06-24T00:00:00"/>
    <x v="17"/>
    <n v="1"/>
    <n v="12000"/>
    <n v="12000"/>
    <m/>
    <s v="Jun"/>
    <s v="Wed"/>
  </r>
  <r>
    <d v="2026-06-24T00:00:00"/>
    <x v="151"/>
    <n v="1"/>
    <n v="12000"/>
    <n v="12000"/>
    <m/>
    <s v="Jun"/>
    <s v="Wed"/>
  </r>
  <r>
    <d v="2026-06-24T00:00:00"/>
    <x v="152"/>
    <n v="1"/>
    <n v="12000"/>
    <n v="12000"/>
    <m/>
    <s v="Jun"/>
    <s v="Wed"/>
  </r>
  <r>
    <d v="2026-06-24T00:00:00"/>
    <x v="104"/>
    <n v="1"/>
    <n v="40000"/>
    <n v="40000"/>
    <m/>
    <s v="Jun"/>
    <s v="Wed"/>
  </r>
  <r>
    <d v="2026-06-24T00:00:00"/>
    <x v="153"/>
    <n v="1"/>
    <n v="14000"/>
    <n v="14000"/>
    <m/>
    <s v="Jun"/>
    <s v="Wed"/>
  </r>
  <r>
    <d v="2026-06-24T00:00:00"/>
    <x v="19"/>
    <n v="2"/>
    <n v="7000"/>
    <n v="14000"/>
    <m/>
    <s v="Jun"/>
    <s v="Wed"/>
  </r>
  <r>
    <d v="2026-06-24T00:00:00"/>
    <x v="154"/>
    <n v="1"/>
    <n v="42000"/>
    <n v="42000"/>
    <m/>
    <s v="Jun"/>
    <s v="Wed"/>
  </r>
  <r>
    <d v="2026-06-24T00:00:00"/>
    <x v="155"/>
    <n v="1"/>
    <n v="35000"/>
    <n v="35000"/>
    <m/>
    <s v="Jun"/>
    <s v="Wed"/>
  </r>
  <r>
    <d v="2026-06-24T00:00:00"/>
    <x v="156"/>
    <n v="1"/>
    <n v="63000"/>
    <n v="63000"/>
    <m/>
    <s v="Jun"/>
    <s v="Wed"/>
  </r>
  <r>
    <d v="2026-06-24T00:00:00"/>
    <x v="2"/>
    <n v="1"/>
    <n v="27000"/>
    <n v="27000"/>
    <m/>
    <s v="Jun"/>
    <s v="Wed"/>
  </r>
  <r>
    <d v="2026-06-24T00:00:00"/>
    <x v="18"/>
    <n v="1"/>
    <n v="12000"/>
    <n v="12000"/>
    <m/>
    <s v="Jun"/>
    <s v="Wed"/>
  </r>
  <r>
    <d v="2026-06-24T00:00:00"/>
    <x v="75"/>
    <n v="1"/>
    <n v="55000"/>
    <n v="55000"/>
    <m/>
    <s v="Jun"/>
    <s v="Wed"/>
  </r>
  <r>
    <d v="2026-06-24T00:00:00"/>
    <x v="157"/>
    <n v="2"/>
    <n v="2000"/>
    <n v="4000"/>
    <m/>
    <s v="Jun"/>
    <s v="Wed"/>
  </r>
  <r>
    <d v="2026-06-24T00:00:00"/>
    <x v="7"/>
    <n v="2"/>
    <n v="12000"/>
    <n v="24000"/>
    <m/>
    <s v="Jun"/>
    <s v="Wed"/>
  </r>
  <r>
    <d v="2026-06-25T00:00:00"/>
    <x v="11"/>
    <n v="1"/>
    <n v="57000"/>
    <n v="57000"/>
    <m/>
    <s v="Jun"/>
    <s v="Thu"/>
  </r>
  <r>
    <d v="2026-06-25T00:00:00"/>
    <x v="158"/>
    <n v="1"/>
    <n v="175000"/>
    <n v="175000"/>
    <m/>
    <s v="Jun"/>
    <s v="Thu"/>
  </r>
  <r>
    <d v="2026-06-25T00:00:00"/>
    <x v="121"/>
    <n v="2"/>
    <n v="17000"/>
    <n v="34000"/>
    <m/>
    <s v="Jun"/>
    <s v="Thu"/>
  </r>
  <r>
    <d v="2026-06-25T00:00:00"/>
    <x v="159"/>
    <n v="1"/>
    <n v="74000"/>
    <n v="74000"/>
    <m/>
    <s v="Jun"/>
    <s v="Thu"/>
  </r>
  <r>
    <d v="2026-06-25T00:00:00"/>
    <x v="160"/>
    <n v="2"/>
    <n v="40000"/>
    <n v="80000"/>
    <m/>
    <s v="Jun"/>
    <s v="Thu"/>
  </r>
  <r>
    <d v="2026-06-25T00:00:00"/>
    <x v="161"/>
    <n v="10"/>
    <n v="3000"/>
    <n v="30000"/>
    <m/>
    <s v="Jun"/>
    <s v="Thu"/>
  </r>
  <r>
    <d v="2026-06-25T00:00:00"/>
    <x v="162"/>
    <n v="1"/>
    <n v="12000"/>
    <n v="12000"/>
    <m/>
    <s v="Jun"/>
    <s v="Thu"/>
  </r>
  <r>
    <d v="2026-06-26T00:00:00"/>
    <x v="163"/>
    <n v="1"/>
    <n v="25000"/>
    <n v="25000"/>
    <m/>
    <s v="Jun"/>
    <s v="Fri"/>
  </r>
  <r>
    <d v="2026-06-27T00:00:00"/>
    <x v="164"/>
    <n v="1"/>
    <n v="50000"/>
    <n v="50000"/>
    <m/>
    <s v="Jun"/>
    <s v="Sat"/>
  </r>
  <r>
    <d v="2026-06-27T00:00:00"/>
    <x v="126"/>
    <n v="1"/>
    <n v="42000"/>
    <n v="42000"/>
    <m/>
    <s v="Jun"/>
    <s v="Sat"/>
  </r>
  <r>
    <d v="2026-06-29T00:00:00"/>
    <x v="2"/>
    <n v="1"/>
    <n v="25000"/>
    <n v="25000"/>
    <m/>
    <s v="Jun"/>
    <s v="Mon"/>
  </r>
  <r>
    <d v="2026-06-29T00:00:00"/>
    <x v="165"/>
    <n v="1"/>
    <n v="15000"/>
    <n v="15000"/>
    <m/>
    <s v="Jun"/>
    <s v="Mon"/>
  </r>
  <r>
    <d v="2026-06-30T00:00:00"/>
    <x v="16"/>
    <n v="1"/>
    <n v="40000"/>
    <n v="40000"/>
    <m/>
    <s v="Jun"/>
    <s v="Tue"/>
  </r>
  <r>
    <d v="2026-06-30T00:00:00"/>
    <x v="86"/>
    <n v="1"/>
    <n v="12000"/>
    <n v="12000"/>
    <m/>
    <s v="Jun"/>
    <s v="Tue"/>
  </r>
  <r>
    <d v="2026-06-30T00:00:00"/>
    <x v="2"/>
    <n v="1"/>
    <n v="27000"/>
    <n v="27000"/>
    <m/>
    <s v="Jun"/>
    <s v="Tue"/>
  </r>
  <r>
    <d v="2026-07-01T00:00:00"/>
    <x v="10"/>
    <n v="1"/>
    <n v="25000"/>
    <n v="25000"/>
    <m/>
    <s v="Jul"/>
    <s v="Wed"/>
  </r>
  <r>
    <d v="2026-07-02T00:00:00"/>
    <x v="166"/>
    <n v="1"/>
    <n v="17000"/>
    <n v="17000"/>
    <m/>
    <s v="Jul"/>
    <s v="Thu"/>
  </r>
  <r>
    <d v="2026-07-02T00:00:00"/>
    <x v="8"/>
    <n v="2"/>
    <n v="10000"/>
    <n v="20000"/>
    <m/>
    <s v="Jul"/>
    <s v="Thu"/>
  </r>
  <r>
    <d v="2026-07-02T00:00:00"/>
    <x v="167"/>
    <n v="1"/>
    <n v="53000"/>
    <n v="53000"/>
    <m/>
    <s v="Jul"/>
    <s v="Thu"/>
  </r>
  <r>
    <d v="2026-07-02T00:00:00"/>
    <x v="108"/>
    <n v="1"/>
    <n v="17000"/>
    <n v="17000"/>
    <m/>
    <s v="Jul"/>
    <s v="Thu"/>
  </r>
  <r>
    <d v="2026-07-02T00:00:00"/>
    <x v="3"/>
    <n v="1"/>
    <n v="25000"/>
    <n v="25000"/>
    <m/>
    <s v="Jul"/>
    <s v="Thu"/>
  </r>
  <r>
    <d v="2026-07-02T00:00:00"/>
    <x v="168"/>
    <n v="2"/>
    <n v="26000"/>
    <n v="52000"/>
    <m/>
    <s v="Jul"/>
    <s v="Thu"/>
  </r>
  <r>
    <d v="2026-07-02T00:00:00"/>
    <x v="169"/>
    <n v="1"/>
    <n v="26000"/>
    <n v="26000"/>
    <m/>
    <s v="Jul"/>
    <s v="Thu"/>
  </r>
  <r>
    <d v="2026-07-02T00:00:00"/>
    <x v="170"/>
    <n v="1"/>
    <n v="26000"/>
    <n v="26000"/>
    <m/>
    <s v="Jul"/>
    <s v="Thu"/>
  </r>
  <r>
    <d v="2026-07-02T00:00:00"/>
    <x v="171"/>
    <n v="1"/>
    <n v="17000"/>
    <n v="17000"/>
    <m/>
    <s v="Jul"/>
    <s v="Thu"/>
  </r>
  <r>
    <d v="2026-07-02T00:00:00"/>
    <x v="172"/>
    <n v="2"/>
    <n v="12000"/>
    <n v="24000"/>
    <m/>
    <s v="Jul"/>
    <s v="Thu"/>
  </r>
  <r>
    <d v="2026-07-02T00:00:00"/>
    <x v="7"/>
    <n v="1"/>
    <n v="12000"/>
    <n v="12000"/>
    <m/>
    <s v="Jul"/>
    <s v="Thu"/>
  </r>
  <r>
    <d v="2026-07-02T00:00:00"/>
    <x v="8"/>
    <n v="1"/>
    <n v="12000"/>
    <n v="12000"/>
    <m/>
    <s v="Jul"/>
    <s v="Thu"/>
  </r>
  <r>
    <d v="2026-07-02T00:00:00"/>
    <x v="44"/>
    <n v="1"/>
    <n v="12000"/>
    <n v="12000"/>
    <m/>
    <s v="Jul"/>
    <s v="Thu"/>
  </r>
  <r>
    <d v="2026-07-02T00:00:00"/>
    <x v="173"/>
    <n v="1"/>
    <n v="17000"/>
    <n v="17000"/>
    <m/>
    <s v="Jul"/>
    <s v="Thu"/>
  </r>
  <r>
    <d v="2026-07-02T00:00:00"/>
    <x v="174"/>
    <n v="1"/>
    <n v="27000"/>
    <n v="27000"/>
    <m/>
    <s v="Jul"/>
    <s v="Thu"/>
  </r>
  <r>
    <d v="2026-07-02T00:00:00"/>
    <x v="65"/>
    <n v="2"/>
    <n v="10000"/>
    <n v="20000"/>
    <m/>
    <s v="Jul"/>
    <s v="Thu"/>
  </r>
  <r>
    <d v="2026-07-02T00:00:00"/>
    <x v="175"/>
    <n v="1"/>
    <n v="37000"/>
    <n v="37000"/>
    <m/>
    <s v="Jul"/>
    <s v="Thu"/>
  </r>
  <r>
    <d v="2026-07-02T00:00:00"/>
    <x v="116"/>
    <n v="1"/>
    <n v="32000"/>
    <n v="32000"/>
    <m/>
    <s v="Jul"/>
    <s v="Thu"/>
  </r>
  <r>
    <d v="2026-07-02T00:00:00"/>
    <x v="176"/>
    <n v="1"/>
    <n v="50000"/>
    <n v="50000"/>
    <m/>
    <s v="Jul"/>
    <s v="Thu"/>
  </r>
  <r>
    <d v="2026-07-02T00:00:00"/>
    <x v="177"/>
    <n v="2"/>
    <n v="3000"/>
    <n v="6000"/>
    <m/>
    <s v="Jul"/>
    <s v="Thu"/>
  </r>
  <r>
    <d v="2026-07-03T00:00:00"/>
    <x v="164"/>
    <n v="1"/>
    <n v="52000"/>
    <n v="52000"/>
    <m/>
    <s v="Jul"/>
    <s v="Fri"/>
  </r>
  <r>
    <d v="2026-07-03T00:00:00"/>
    <x v="103"/>
    <n v="1"/>
    <n v="12000"/>
    <n v="12000"/>
    <m/>
    <s v="Jul"/>
    <s v="Fri"/>
  </r>
  <r>
    <d v="2026-07-03T00:00:00"/>
    <x v="178"/>
    <n v="1"/>
    <n v="35000"/>
    <n v="35000"/>
    <m/>
    <s v="Jul"/>
    <s v="Fri"/>
  </r>
  <r>
    <d v="2026-07-03T00:00:00"/>
    <x v="154"/>
    <n v="1"/>
    <n v="42000"/>
    <n v="42000"/>
    <s v="Tf"/>
    <s v="Jul"/>
    <s v="Fri"/>
  </r>
  <r>
    <d v="2026-07-03T00:00:00"/>
    <x v="2"/>
    <n v="1"/>
    <n v="25000"/>
    <n v="25000"/>
    <m/>
    <s v="Jul"/>
    <s v="Fri"/>
  </r>
  <r>
    <d v="2026-07-04T00:00:00"/>
    <x v="61"/>
    <n v="1"/>
    <n v="115000"/>
    <n v="115000"/>
    <m/>
    <s v="Jul"/>
    <s v="Sat"/>
  </r>
  <r>
    <d v="2026-07-04T00:00:00"/>
    <x v="14"/>
    <n v="1"/>
    <n v="15000"/>
    <n v="15000"/>
    <m/>
    <s v="Jul"/>
    <s v="Sat"/>
  </r>
  <r>
    <d v="2026-07-04T00:00:00"/>
    <x v="6"/>
    <n v="1"/>
    <n v="26000"/>
    <n v="26000"/>
    <m/>
    <s v="Jul"/>
    <s v="Sat"/>
  </r>
  <r>
    <d v="2026-07-04T00:00:00"/>
    <x v="179"/>
    <n v="1"/>
    <n v="12000"/>
    <n v="12000"/>
    <m/>
    <s v="Jul"/>
    <s v="Sat"/>
  </r>
  <r>
    <d v="2026-07-04T00:00:00"/>
    <x v="180"/>
    <n v="1"/>
    <n v="53000"/>
    <n v="53000"/>
    <m/>
    <s v="Jul"/>
    <s v="Sat"/>
  </r>
  <r>
    <d v="2026-07-04T00:00:00"/>
    <x v="181"/>
    <n v="1"/>
    <n v="75000"/>
    <n v="75000"/>
    <m/>
    <s v="Jul"/>
    <s v="Sat"/>
  </r>
  <r>
    <d v="2026-07-04T00:00:00"/>
    <x v="75"/>
    <n v="1"/>
    <n v="45000"/>
    <n v="45000"/>
    <s v="Tf"/>
    <s v="Jul"/>
    <s v="Sat"/>
  </r>
  <r>
    <d v="2026-07-04T00:00:00"/>
    <x v="182"/>
    <n v="1"/>
    <n v="20000"/>
    <n v="20000"/>
    <m/>
    <s v="Jul"/>
    <s v="Sat"/>
  </r>
  <r>
    <d v="2026-07-04T00:00:00"/>
    <x v="153"/>
    <n v="1"/>
    <n v="14000"/>
    <n v="14000"/>
    <m/>
    <s v="Jul"/>
    <s v="Sat"/>
  </r>
  <r>
    <d v="2026-07-04T00:00:00"/>
    <x v="78"/>
    <n v="1"/>
    <n v="10000"/>
    <n v="10000"/>
    <m/>
    <s v="Jul"/>
    <s v="Sat"/>
  </r>
  <r>
    <d v="2026-07-04T00:00:00"/>
    <x v="183"/>
    <n v="1"/>
    <n v="20000"/>
    <n v="20000"/>
    <m/>
    <s v="Jul"/>
    <s v="Sat"/>
  </r>
  <r>
    <d v="2026-07-04T00:00:00"/>
    <x v="184"/>
    <n v="1"/>
    <n v="12000"/>
    <n v="12000"/>
    <m/>
    <s v="Jul"/>
    <s v="Sat"/>
  </r>
  <r>
    <d v="2026-07-04T00:00:00"/>
    <x v="185"/>
    <n v="1"/>
    <n v="12000"/>
    <n v="12000"/>
    <m/>
    <s v="Jul"/>
    <s v="Sat"/>
  </r>
  <r>
    <d v="2026-07-04T00:00:00"/>
    <x v="35"/>
    <n v="1"/>
    <n v="15000"/>
    <n v="15000"/>
    <m/>
    <s v="Jul"/>
    <s v="Sat"/>
  </r>
  <r>
    <d v="2026-07-04T00:00:00"/>
    <x v="186"/>
    <n v="1"/>
    <n v="60000"/>
    <n v="60000"/>
    <m/>
    <s v="Jul"/>
    <s v="Sat"/>
  </r>
  <r>
    <d v="2026-07-04T00:00:00"/>
    <x v="187"/>
    <n v="1"/>
    <n v="32000"/>
    <n v="32000"/>
    <m/>
    <s v="Jul"/>
    <s v="Sat"/>
  </r>
  <r>
    <d v="2026-07-04T00:00:00"/>
    <x v="188"/>
    <n v="1"/>
    <n v="32000"/>
    <n v="32000"/>
    <m/>
    <s v="Jul"/>
    <s v="Sat"/>
  </r>
  <r>
    <d v="2026-07-04T00:00:00"/>
    <x v="26"/>
    <n v="1"/>
    <n v="12000"/>
    <n v="12000"/>
    <m/>
    <s v="Jul"/>
    <s v="Sat"/>
  </r>
  <r>
    <d v="2026-07-06T00:00:00"/>
    <x v="5"/>
    <n v="1"/>
    <n v="40000"/>
    <n v="40000"/>
    <m/>
    <s v="Jul"/>
    <s v="Mon"/>
  </r>
  <r>
    <d v="2026-07-06T00:00:00"/>
    <x v="189"/>
    <n v="1"/>
    <n v="17000"/>
    <n v="17000"/>
    <m/>
    <s v="Jul"/>
    <s v="Mon"/>
  </r>
  <r>
    <d v="2026-07-06T00:00:00"/>
    <x v="44"/>
    <n v="1"/>
    <n v="12000"/>
    <n v="12000"/>
    <m/>
    <s v="Jul"/>
    <s v="Mon"/>
  </r>
  <r>
    <d v="2026-07-06T00:00:00"/>
    <x v="169"/>
    <n v="1"/>
    <n v="26000"/>
    <n v="26000"/>
    <m/>
    <s v="Jul"/>
    <s v="Mon"/>
  </r>
  <r>
    <d v="2026-07-06T00:00:00"/>
    <x v="178"/>
    <n v="1"/>
    <n v="35000"/>
    <n v="35000"/>
    <m/>
    <s v="Jul"/>
    <s v="Mon"/>
  </r>
  <r>
    <d v="2026-07-06T00:00:00"/>
    <x v="26"/>
    <n v="1"/>
    <n v="22000"/>
    <n v="22000"/>
    <m/>
    <s v="Jul"/>
    <s v="Mon"/>
  </r>
  <r>
    <d v="2026-07-06T00:00:00"/>
    <x v="25"/>
    <n v="1"/>
    <n v="17000"/>
    <n v="17000"/>
    <m/>
    <s v="Jul"/>
    <s v="Mon"/>
  </r>
  <r>
    <d v="2026-07-06T00:00:00"/>
    <x v="190"/>
    <n v="1"/>
    <n v="12000"/>
    <n v="12000"/>
    <m/>
    <s v="Jul"/>
    <s v="Mon"/>
  </r>
  <r>
    <d v="2026-07-06T00:00:00"/>
    <x v="2"/>
    <n v="1"/>
    <n v="25000"/>
    <n v="25000"/>
    <m/>
    <s v="Jul"/>
    <s v="Mon"/>
  </r>
  <r>
    <d v="2026-07-07T00:00:00"/>
    <x v="126"/>
    <n v="1"/>
    <n v="42000"/>
    <n v="42000"/>
    <m/>
    <s v="Jul"/>
    <s v="Tue"/>
  </r>
  <r>
    <d v="2026-07-07T00:00:00"/>
    <x v="116"/>
    <n v="1"/>
    <n v="17000"/>
    <n v="17000"/>
    <m/>
    <s v="Jul"/>
    <s v="Tue"/>
  </r>
  <r>
    <d v="2026-07-07T00:00:00"/>
    <x v="191"/>
    <n v="1"/>
    <n v="45000"/>
    <n v="45000"/>
    <m/>
    <s v="Jul"/>
    <s v="Tue"/>
  </r>
  <r>
    <d v="2026-07-08T00:00:00"/>
    <x v="115"/>
    <n v="1"/>
    <n v="65000"/>
    <n v="65000"/>
    <m/>
    <s v="Jul"/>
    <s v="Wed"/>
  </r>
  <r>
    <d v="2026-07-08T00:00:00"/>
    <x v="190"/>
    <n v="1"/>
    <n v="5000"/>
    <n v="5000"/>
    <m/>
    <s v="Jul"/>
    <s v="Wed"/>
  </r>
  <r>
    <d v="2026-07-08T00:00:00"/>
    <x v="192"/>
    <n v="1"/>
    <n v="35000"/>
    <n v="35000"/>
    <m/>
    <s v="Jul"/>
    <s v="Wed"/>
  </r>
  <r>
    <d v="2026-07-08T00:00:00"/>
    <x v="116"/>
    <n v="2"/>
    <n v="10000"/>
    <n v="20000"/>
    <m/>
    <s v="Jul"/>
    <s v="Wed"/>
  </r>
  <r>
    <d v="2026-07-08T00:00:00"/>
    <x v="193"/>
    <n v="1"/>
    <n v="37000"/>
    <n v="37000"/>
    <m/>
    <s v="Jul"/>
    <s v="Wed"/>
  </r>
  <r>
    <d v="2026-07-09T00:00:00"/>
    <x v="126"/>
    <n v="1"/>
    <n v="40000"/>
    <n v="40000"/>
    <m/>
    <s v="Jul"/>
    <s v="Thu"/>
  </r>
  <r>
    <d v="2026-07-09T00:00:00"/>
    <x v="77"/>
    <n v="1"/>
    <n v="44000"/>
    <n v="44000"/>
    <m/>
    <s v="Jul"/>
    <s v="Thu"/>
  </r>
  <r>
    <d v="2026-07-10T00:00:00"/>
    <x v="194"/>
    <n v="1"/>
    <n v="50000"/>
    <n v="50000"/>
    <m/>
    <s v="Jul"/>
    <s v="Fri"/>
  </r>
  <r>
    <d v="2026-07-10T00:00:00"/>
    <x v="195"/>
    <n v="1"/>
    <n v="15000"/>
    <n v="15000"/>
    <m/>
    <s v="Jul"/>
    <s v="Fri"/>
  </r>
  <r>
    <d v="2026-07-10T00:00:00"/>
    <x v="2"/>
    <n v="1"/>
    <n v="25000"/>
    <n v="25000"/>
    <m/>
    <s v="Jul"/>
    <s v="Fri"/>
  </r>
  <r>
    <d v="2026-07-10T00:00:00"/>
    <x v="37"/>
    <n v="1"/>
    <n v="85000"/>
    <n v="85000"/>
    <m/>
    <s v="Jul"/>
    <s v="Fri"/>
  </r>
  <r>
    <d v="2026-07-11T00:00:00"/>
    <x v="5"/>
    <n v="1"/>
    <n v="45000"/>
    <n v="45000"/>
    <m/>
    <s v="Jul"/>
    <s v="Sat"/>
  </r>
  <r>
    <d v="2026-07-11T00:00:00"/>
    <x v="196"/>
    <n v="1"/>
    <n v="130000"/>
    <n v="130000"/>
    <m/>
    <s v="Jul"/>
    <s v="Sat"/>
  </r>
  <r>
    <d v="2026-07-11T00:00:00"/>
    <x v="197"/>
    <n v="1"/>
    <n v="57000"/>
    <n v="57000"/>
    <m/>
    <s v="Jul"/>
    <s v="Sat"/>
  </r>
  <r>
    <d v="2026-07-11T00:00:00"/>
    <x v="198"/>
    <n v="1"/>
    <n v="30000"/>
    <n v="30000"/>
    <m/>
    <s v="Jul"/>
    <s v="Sat"/>
  </r>
  <r>
    <d v="2026-07-11T00:00:00"/>
    <x v="2"/>
    <n v="1"/>
    <n v="25000"/>
    <n v="25000"/>
    <m/>
    <s v="Jul"/>
    <s v="Sat"/>
  </r>
  <r>
    <d v="2026-07-13T00:00:00"/>
    <x v="22"/>
    <n v="1"/>
    <n v="15000"/>
    <n v="15000"/>
    <m/>
    <s v="Jul"/>
    <s v="Mon"/>
  </r>
  <r>
    <d v="2026-07-13T00:00:00"/>
    <x v="199"/>
    <n v="1"/>
    <n v="12000"/>
    <n v="12000"/>
    <m/>
    <s v="Jul"/>
    <s v="Mon"/>
  </r>
  <r>
    <d v="2026-07-13T00:00:00"/>
    <x v="200"/>
    <n v="1"/>
    <n v="10000"/>
    <n v="10000"/>
    <m/>
    <s v="Jul"/>
    <s v="Mon"/>
  </r>
  <r>
    <d v="2026-07-13T00:00:00"/>
    <x v="96"/>
    <n v="1"/>
    <n v="10000"/>
    <n v="10000"/>
    <m/>
    <s v="Jul"/>
    <s v="Mon"/>
  </r>
  <r>
    <d v="2026-07-13T00:00:00"/>
    <x v="85"/>
    <n v="1"/>
    <n v="15000"/>
    <n v="15000"/>
    <m/>
    <s v="Jul"/>
    <s v="Mon"/>
  </r>
  <r>
    <d v="2026-07-13T00:00:00"/>
    <x v="2"/>
    <n v="2"/>
    <n v="25000"/>
    <n v="50000"/>
    <s v="Tf"/>
    <s v="Jul"/>
    <s v="Mon"/>
  </r>
  <r>
    <d v="2026-07-13T00:00:00"/>
    <x v="3"/>
    <n v="1"/>
    <n v="25000"/>
    <n v="25000"/>
    <m/>
    <s v="Jul"/>
    <s v="Mon"/>
  </r>
  <r>
    <d v="2026-07-13T00:00:00"/>
    <x v="201"/>
    <n v="1"/>
    <n v="57000"/>
    <n v="57000"/>
    <m/>
    <s v="Jul"/>
    <s v="Mon"/>
  </r>
  <r>
    <d v="2026-07-13T00:00:00"/>
    <x v="202"/>
    <n v="1"/>
    <n v="75000"/>
    <n v="75000"/>
    <s v="Tf"/>
    <s v="Jul"/>
    <s v="Mon"/>
  </r>
  <r>
    <d v="2026-07-14T00:00:00"/>
    <x v="3"/>
    <n v="1"/>
    <n v="25000"/>
    <n v="25000"/>
    <s v="Tf"/>
    <s v="Jul"/>
    <s v="Tue"/>
  </r>
  <r>
    <d v="2026-07-14T00:00:00"/>
    <x v="141"/>
    <n v="1"/>
    <n v="15000"/>
    <n v="15000"/>
    <s v="Tf"/>
    <s v="Jul"/>
    <s v="Tue"/>
  </r>
  <r>
    <d v="2026-07-14T00:00:00"/>
    <x v="0"/>
    <n v="2"/>
    <n v="10000"/>
    <n v="20000"/>
    <m/>
    <s v="Jul"/>
    <s v="Tue"/>
  </r>
  <r>
    <d v="2026-07-14T00:00:00"/>
    <x v="203"/>
    <n v="1"/>
    <n v="125000"/>
    <n v="125000"/>
    <m/>
    <s v="Jul"/>
    <s v="Tue"/>
  </r>
  <r>
    <d v="2026-07-14T00:00:00"/>
    <x v="32"/>
    <n v="1"/>
    <n v="9000"/>
    <n v="9000"/>
    <m/>
    <s v="Jul"/>
    <s v="Tue"/>
  </r>
  <r>
    <d v="2026-07-15T00:00:00"/>
    <x v="204"/>
    <n v="1"/>
    <n v="52000"/>
    <n v="52000"/>
    <s v="Tf"/>
    <s v="Jul"/>
    <s v="Wed"/>
  </r>
  <r>
    <d v="2026-07-16T00:00:00"/>
    <x v="3"/>
    <n v="1"/>
    <n v="25000"/>
    <n v="25000"/>
    <m/>
    <s v="Jul"/>
    <s v="Thu"/>
  </r>
  <r>
    <d v="2026-07-17T00:00:00"/>
    <x v="164"/>
    <n v="1"/>
    <n v="55000"/>
    <n v="55000"/>
    <m/>
    <s v="Jul"/>
    <s v="Fri"/>
  </r>
  <r>
    <d v="2026-07-17T00:00:00"/>
    <x v="5"/>
    <n v="1"/>
    <n v="45000"/>
    <n v="45000"/>
    <m/>
    <s v="Jul"/>
    <s v="Fri"/>
  </r>
  <r>
    <d v="2026-07-17T00:00:00"/>
    <x v="186"/>
    <n v="1"/>
    <n v="60000"/>
    <n v="60000"/>
    <s v="Tf"/>
    <s v="Jul"/>
    <s v="Fri"/>
  </r>
  <r>
    <d v="2026-07-17T00:00:00"/>
    <x v="205"/>
    <n v="1"/>
    <n v="12000"/>
    <n v="12000"/>
    <m/>
    <s v="Jul"/>
    <s v="Fri"/>
  </r>
  <r>
    <d v="2026-07-17T00:00:00"/>
    <x v="206"/>
    <n v="2"/>
    <n v="10000"/>
    <n v="20000"/>
    <m/>
    <s v="Jul"/>
    <s v="Fri"/>
  </r>
  <r>
    <d v="2026-07-18T00:00:00"/>
    <x v="207"/>
    <n v="1"/>
    <n v="77500"/>
    <n v="77500"/>
    <m/>
    <s v="Jul"/>
    <s v="Sat"/>
  </r>
  <r>
    <d v="2026-07-18T00:00:00"/>
    <x v="2"/>
    <n v="1"/>
    <n v="25000"/>
    <n v="25000"/>
    <m/>
    <s v="Jul"/>
    <s v="Sat"/>
  </r>
  <r>
    <d v="2026-07-18T00:00:00"/>
    <x v="204"/>
    <n v="1"/>
    <n v="52000"/>
    <n v="52000"/>
    <m/>
    <s v="Jul"/>
    <s v="Sat"/>
  </r>
  <r>
    <d v="2026-07-18T00:00:00"/>
    <x v="208"/>
    <n v="1"/>
    <n v="45000"/>
    <n v="45000"/>
    <m/>
    <s v="Jul"/>
    <s v="Sat"/>
  </r>
  <r>
    <d v="2026-07-18T00:00:00"/>
    <x v="6"/>
    <n v="1"/>
    <n v="26000"/>
    <n v="26000"/>
    <m/>
    <s v="Jul"/>
    <s v="Sat"/>
  </r>
  <r>
    <d v="2026-07-18T00:00:00"/>
    <x v="209"/>
    <n v="1"/>
    <n v="12000"/>
    <n v="12000"/>
    <m/>
    <s v="Jul"/>
    <s v="Sat"/>
  </r>
  <r>
    <d v="2026-07-18T00:00:00"/>
    <x v="148"/>
    <n v="1"/>
    <n v="3000"/>
    <n v="3000"/>
    <m/>
    <s v="Jul"/>
    <s v="Sat"/>
  </r>
  <r>
    <d v="2026-07-18T00:00:00"/>
    <x v="3"/>
    <n v="1"/>
    <n v="25000"/>
    <n v="25000"/>
    <m/>
    <s v="Jul"/>
    <s v="Sat"/>
  </r>
  <r>
    <d v="2026-07-18T00:00:00"/>
    <x v="2"/>
    <n v="1"/>
    <n v="25000"/>
    <n v="25000"/>
    <m/>
    <s v="Jul"/>
    <s v="Sat"/>
  </r>
  <r>
    <d v="2026-07-18T00:00:00"/>
    <x v="210"/>
    <n v="1"/>
    <n v="57000"/>
    <n v="57000"/>
    <m/>
    <s v="Jul"/>
    <s v="Sat"/>
  </r>
  <r>
    <d v="2026-07-20T00:00:00"/>
    <x v="6"/>
    <n v="1"/>
    <n v="26000"/>
    <n v="26000"/>
    <m/>
    <s v="Jul"/>
    <s v="Mon"/>
  </r>
  <r>
    <d v="2026-07-20T00:00:00"/>
    <x v="7"/>
    <n v="3"/>
    <n v="10000"/>
    <n v="30000"/>
    <m/>
    <s v="Jul"/>
    <s v="Mon"/>
  </r>
  <r>
    <d v="2026-07-20T00:00:00"/>
    <x v="8"/>
    <n v="1"/>
    <n v="10000"/>
    <n v="10000"/>
    <m/>
    <s v="Jul"/>
    <s v="Mon"/>
  </r>
  <r>
    <d v="2026-07-20T00:00:00"/>
    <x v="0"/>
    <n v="1"/>
    <n v="10000"/>
    <n v="10000"/>
    <m/>
    <s v="Jul"/>
    <s v="Mon"/>
  </r>
  <r>
    <d v="2026-07-20T00:00:00"/>
    <x v="103"/>
    <n v="1"/>
    <n v="10000"/>
    <n v="10000"/>
    <m/>
    <s v="Jul"/>
    <s v="Mon"/>
  </r>
  <r>
    <d v="2026-07-20T00:00:00"/>
    <x v="117"/>
    <n v="1"/>
    <n v="10000"/>
    <n v="10000"/>
    <m/>
    <s v="Jul"/>
    <s v="Mon"/>
  </r>
  <r>
    <d v="2026-07-20T00:00:00"/>
    <x v="211"/>
    <n v="3"/>
    <n v="8000"/>
    <n v="24000"/>
    <m/>
    <s v="Jul"/>
    <s v="Mon"/>
  </r>
  <r>
    <d v="2026-07-20T00:00:00"/>
    <x v="212"/>
    <n v="10"/>
    <n v="1000"/>
    <n v="10000"/>
    <m/>
    <s v="Jul"/>
    <s v="Mon"/>
  </r>
  <r>
    <d v="2026-07-20T00:00:00"/>
    <x v="0"/>
    <n v="2"/>
    <n v="10000"/>
    <n v="20000"/>
    <m/>
    <s v="Jul"/>
    <s v="Mon"/>
  </r>
  <r>
    <d v="2026-07-20T00:00:00"/>
    <x v="44"/>
    <n v="1"/>
    <n v="10000"/>
    <n v="10000"/>
    <m/>
    <s v="Jul"/>
    <s v="Mon"/>
  </r>
  <r>
    <d v="2026-07-20T00:00:00"/>
    <x v="105"/>
    <n v="1"/>
    <n v="35000"/>
    <n v="35000"/>
    <m/>
    <s v="Jul"/>
    <s v="Mon"/>
  </r>
  <r>
    <d v="2026-07-20T00:00:00"/>
    <x v="35"/>
    <n v="1"/>
    <n v="17000"/>
    <n v="17000"/>
    <m/>
    <s v="Jul"/>
    <s v="Mon"/>
  </r>
  <r>
    <d v="2026-07-20T00:00:00"/>
    <x v="123"/>
    <n v="1"/>
    <n v="22000"/>
    <n v="22000"/>
    <m/>
    <s v="Jul"/>
    <s v="Mon"/>
  </r>
  <r>
    <d v="2026-07-20T00:00:00"/>
    <x v="213"/>
    <n v="1"/>
    <n v="17000"/>
    <n v="17000"/>
    <m/>
    <s v="Jul"/>
    <s v="Mon"/>
  </r>
  <r>
    <d v="2026-07-20T00:00:00"/>
    <x v="214"/>
    <n v="1"/>
    <n v="17000"/>
    <n v="17000"/>
    <m/>
    <s v="Jul"/>
    <s v="Mon"/>
  </r>
  <r>
    <d v="2026-07-20T00:00:00"/>
    <x v="215"/>
    <n v="1"/>
    <n v="15000"/>
    <n v="15000"/>
    <m/>
    <s v="Jul"/>
    <s v="Mon"/>
  </r>
  <r>
    <d v="2026-07-20T00:00:00"/>
    <x v="216"/>
    <n v="2"/>
    <n v="7000"/>
    <n v="14000"/>
    <m/>
    <s v="Jul"/>
    <s v="Mon"/>
  </r>
  <r>
    <d v="2026-07-21T00:00:00"/>
    <x v="2"/>
    <n v="1"/>
    <n v="25000"/>
    <n v="25000"/>
    <m/>
    <s v="Jul"/>
    <s v="Tue"/>
  </r>
  <r>
    <d v="2026-07-23T00:00:00"/>
    <x v="0"/>
    <n v="2"/>
    <n v="10000"/>
    <n v="20000"/>
    <m/>
    <s v="Jul"/>
    <s v="Thu"/>
  </r>
  <r>
    <d v="2026-07-23T00:00:00"/>
    <x v="7"/>
    <n v="2"/>
    <n v="10000"/>
    <n v="20000"/>
    <m/>
    <s v="Jul"/>
    <s v="Thu"/>
  </r>
  <r>
    <d v="2026-07-23T00:00:00"/>
    <x v="148"/>
    <n v="2"/>
    <n v="7000"/>
    <n v="14000"/>
    <m/>
    <s v="Jul"/>
    <s v="Thu"/>
  </r>
  <r>
    <d v="2026-07-23T00:00:00"/>
    <x v="217"/>
    <n v="2"/>
    <n v="39000"/>
    <n v="78000"/>
    <s v="Tf"/>
    <s v="Jul"/>
    <s v="Thu"/>
  </r>
  <r>
    <d v="2026-07-23T00:00:00"/>
    <x v="35"/>
    <n v="2"/>
    <n v="8500"/>
    <n v="17000"/>
    <m/>
    <s v="Jul"/>
    <s v="Thu"/>
  </r>
  <r>
    <d v="2026-07-23T00:00:00"/>
    <x v="75"/>
    <n v="1"/>
    <n v="45000"/>
    <n v="45000"/>
    <m/>
    <s v="Jul"/>
    <s v="Thu"/>
  </r>
  <r>
    <d v="2026-07-23T00:00:00"/>
    <x v="171"/>
    <n v="1"/>
    <n v="26000"/>
    <n v="26000"/>
    <m/>
    <s v="Jul"/>
    <s v="Thu"/>
  </r>
  <r>
    <d v="2026-07-23T00:00:00"/>
    <x v="179"/>
    <n v="1"/>
    <n v="12000"/>
    <n v="12000"/>
    <m/>
    <s v="Jul"/>
    <s v="Thu"/>
  </r>
  <r>
    <d v="2026-07-23T00:00:00"/>
    <x v="35"/>
    <n v="1"/>
    <n v="15000"/>
    <n v="15000"/>
    <m/>
    <s v="Jul"/>
    <s v="Thu"/>
  </r>
  <r>
    <d v="2026-07-23T00:00:00"/>
    <x v="218"/>
    <n v="1"/>
    <n v="17000"/>
    <n v="17000"/>
    <m/>
    <s v="Jul"/>
    <s v="Thu"/>
  </r>
  <r>
    <d v="2026-07-23T00:00:00"/>
    <x v="148"/>
    <n v="1"/>
    <n v="7000"/>
    <n v="7000"/>
    <m/>
    <s v="Jul"/>
    <s v="Thu"/>
  </r>
  <r>
    <d v="2026-07-23T00:00:00"/>
    <x v="219"/>
    <n v="1"/>
    <n v="25000"/>
    <n v="25000"/>
    <m/>
    <s v="Jul"/>
    <s v="Thu"/>
  </r>
  <r>
    <d v="2026-07-23T00:00:00"/>
    <x v="220"/>
    <n v="1"/>
    <n v="10000"/>
    <n v="10000"/>
    <m/>
    <s v="Jul"/>
    <s v="Th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d v="2026-05-04T00:00:00"/>
    <s v="Kabel Persneling"/>
    <n v="1"/>
    <n v="10000"/>
    <n v="10000"/>
    <m/>
    <s v="May"/>
    <x v="0"/>
  </r>
  <r>
    <d v="2026-05-04T00:00:00"/>
    <s v="Per Keong"/>
    <n v="2"/>
    <n v="35000"/>
    <n v="70000"/>
    <m/>
    <s v="May"/>
    <x v="0"/>
  </r>
  <r>
    <d v="2026-05-04T00:00:00"/>
    <s v="Oli Mesin"/>
    <n v="1"/>
    <n v="15000"/>
    <n v="15000"/>
    <m/>
    <s v="May"/>
    <x v="0"/>
  </r>
  <r>
    <d v="2026-05-04T00:00:00"/>
    <s v="Busi"/>
    <n v="1"/>
    <n v="20000"/>
    <n v="20000"/>
    <m/>
    <s v="May"/>
    <x v="0"/>
  </r>
  <r>
    <d v="2026-05-04T00:00:00"/>
    <s v="Parkit 105"/>
    <n v="1"/>
    <n v="10000"/>
    <n v="10000"/>
    <m/>
    <s v="May"/>
    <x v="0"/>
  </r>
  <r>
    <d v="2026-05-04T00:00:00"/>
    <s v="Spuyer"/>
    <n v="1"/>
    <n v="40000"/>
    <n v="40000"/>
    <s v="Tf"/>
    <s v="May"/>
    <x v="0"/>
  </r>
  <r>
    <d v="2026-05-05T00:00:00"/>
    <s v="Busi"/>
    <n v="2"/>
    <n v="20000"/>
    <n v="40000"/>
    <s v="Tf"/>
    <s v="May"/>
    <x v="1"/>
  </r>
  <r>
    <d v="2026-05-05T00:00:00"/>
    <s v="Kabel luar Vemsa"/>
    <n v="1"/>
    <n v="22000"/>
    <n v="22000"/>
    <m/>
    <s v="May"/>
    <x v="1"/>
  </r>
  <r>
    <d v="2026-05-05T00:00:00"/>
    <s v="Kabel Persneling"/>
    <n v="2"/>
    <n v="10000"/>
    <n v="20000"/>
    <m/>
    <s v="May"/>
    <x v="1"/>
  </r>
  <r>
    <d v="2026-05-05T00:00:00"/>
    <s v="Kabel Kupling"/>
    <n v="2"/>
    <n v="10000"/>
    <n v="20000"/>
    <m/>
    <s v="May"/>
    <x v="1"/>
  </r>
  <r>
    <d v="2026-05-05T00:00:00"/>
    <s v="Kabel gas"/>
    <n v="1"/>
    <n v="10000"/>
    <n v="10000"/>
    <m/>
    <s v="May"/>
    <x v="1"/>
  </r>
  <r>
    <d v="2026-05-05T00:00:00"/>
    <s v="Handle"/>
    <n v="1"/>
    <n v="35000"/>
    <n v="35000"/>
    <m/>
    <s v="May"/>
    <x v="1"/>
  </r>
  <r>
    <d v="2026-05-05T00:00:00"/>
    <s v="Oli Mesin"/>
    <n v="1"/>
    <n v="15000"/>
    <n v="15000"/>
    <m/>
    <s v="May"/>
    <x v="1"/>
  </r>
  <r>
    <d v="2026-05-05T00:00:00"/>
    <s v="Busi NGK T5999"/>
    <n v="2"/>
    <n v="10000"/>
    <n v="20000"/>
    <s v="Tf"/>
    <s v="May"/>
    <x v="1"/>
  </r>
  <r>
    <d v="2026-05-05T00:00:00"/>
    <s v="Kabel luar Vemsa"/>
    <n v="1"/>
    <n v="22000"/>
    <n v="22000"/>
    <m/>
    <s v="May"/>
    <x v="1"/>
  </r>
  <r>
    <d v="2026-05-05T00:00:00"/>
    <s v="Olsam Idemitsu"/>
    <n v="1"/>
    <n v="52000"/>
    <n v="52000"/>
    <m/>
    <s v="May"/>
    <x v="1"/>
  </r>
  <r>
    <d v="2026-05-07T00:00:00"/>
    <s v="Kabel gas"/>
    <n v="1"/>
    <n v="10000"/>
    <n v="10000"/>
    <m/>
    <s v="May"/>
    <x v="2"/>
  </r>
  <r>
    <d v="2026-05-07T00:00:00"/>
    <s v="Seal Kruk as"/>
    <n v="1"/>
    <n v="30000"/>
    <n v="30000"/>
    <m/>
    <s v="May"/>
    <x v="2"/>
  </r>
  <r>
    <d v="2026-05-07T00:00:00"/>
    <s v="Kabel Kupling"/>
    <n v="1"/>
    <n v="10000"/>
    <n v="10000"/>
    <m/>
    <s v="May"/>
    <x v="2"/>
  </r>
  <r>
    <d v="2026-05-08T00:00:00"/>
    <s v="Oli Mesin"/>
    <n v="1"/>
    <n v="15000"/>
    <n v="15000"/>
    <m/>
    <s v="May"/>
    <x v="3"/>
  </r>
  <r>
    <d v="2026-05-08T00:00:00"/>
    <s v="Per Standar tengah"/>
    <n v="1"/>
    <n v="15000"/>
    <n v="15000"/>
    <m/>
    <s v="May"/>
    <x v="3"/>
  </r>
  <r>
    <d v="2026-05-09T00:00:00"/>
    <s v="Seal Roda"/>
    <n v="1"/>
    <n v="15000"/>
    <n v="15000"/>
    <m/>
    <s v="May"/>
    <x v="4"/>
  </r>
  <r>
    <d v="2026-05-09T00:00:00"/>
    <s v="Mangkok Kupling"/>
    <n v="1"/>
    <n v="45000"/>
    <n v="45000"/>
    <m/>
    <s v="May"/>
    <x v="4"/>
  </r>
  <r>
    <d v="2026-05-09T00:00:00"/>
    <s v="Kampas Kupling Ricambi"/>
    <n v="1"/>
    <n v="40000"/>
    <n v="40000"/>
    <m/>
    <s v="May"/>
    <x v="4"/>
  </r>
  <r>
    <d v="2026-05-09T00:00:00"/>
    <s v="Mur Kupling"/>
    <n v="1"/>
    <n v="10000"/>
    <n v="10000"/>
    <m/>
    <s v="May"/>
    <x v="4"/>
  </r>
  <r>
    <d v="2026-05-09T00:00:00"/>
    <s v="Ring Matahari"/>
    <n v="1"/>
    <n v="5000"/>
    <n v="5000"/>
    <m/>
    <s v="May"/>
    <x v="4"/>
  </r>
  <r>
    <d v="2026-05-09T00:00:00"/>
    <s v="Spi Magnet"/>
    <n v="1"/>
    <n v="7000"/>
    <n v="7000"/>
    <m/>
    <s v="May"/>
    <x v="4"/>
  </r>
  <r>
    <d v="2026-05-09T00:00:00"/>
    <s v="Ring Kupling"/>
    <n v="1"/>
    <n v="10000"/>
    <n v="10000"/>
    <m/>
    <s v="May"/>
    <x v="4"/>
  </r>
  <r>
    <d v="2026-05-09T00:00:00"/>
    <s v="Jejengkolan"/>
    <n v="6"/>
    <n v="5000"/>
    <n v="30000"/>
    <m/>
    <s v="May"/>
    <x v="4"/>
  </r>
  <r>
    <d v="2026-05-09T00:00:00"/>
    <s v="Kunci tutup tangki"/>
    <n v="1"/>
    <n v="15000"/>
    <n v="15000"/>
    <m/>
    <s v="May"/>
    <x v="4"/>
  </r>
  <r>
    <d v="2026-05-09T00:00:00"/>
    <s v="Per Kupling"/>
    <n v="6"/>
    <n v="4000"/>
    <n v="24000"/>
    <m/>
    <s v="May"/>
    <x v="4"/>
  </r>
  <r>
    <d v="2026-05-09T00:00:00"/>
    <s v="Bak persneling PX"/>
    <n v="1"/>
    <n v="115000"/>
    <n v="115000"/>
    <m/>
    <s v="May"/>
    <x v="4"/>
  </r>
  <r>
    <d v="2026-05-09T00:00:00"/>
    <s v="Kabel Persneling"/>
    <n v="2"/>
    <n v="10000"/>
    <n v="20000"/>
    <m/>
    <s v="May"/>
    <x v="4"/>
  </r>
  <r>
    <d v="2026-05-09T00:00:00"/>
    <s v="Kabel Persneling"/>
    <n v="2"/>
    <n v="10000"/>
    <n v="20000"/>
    <m/>
    <s v="May"/>
    <x v="4"/>
  </r>
  <r>
    <d v="2026-05-09T00:00:00"/>
    <s v="Kabel Kupling"/>
    <n v="1"/>
    <n v="10000"/>
    <n v="10000"/>
    <m/>
    <s v="May"/>
    <x v="4"/>
  </r>
  <r>
    <d v="2026-05-09T00:00:00"/>
    <s v="Laher Komstir"/>
    <n v="1"/>
    <n v="15000"/>
    <n v="15000"/>
    <m/>
    <s v="May"/>
    <x v="4"/>
  </r>
  <r>
    <d v="2026-05-11T00:00:00"/>
    <s v="Mur Roda 22"/>
    <n v="1"/>
    <n v="10000"/>
    <n v="10000"/>
    <m/>
    <s v="May"/>
    <x v="0"/>
  </r>
  <r>
    <d v="2026-05-11T00:00:00"/>
    <s v="Oli Mesin"/>
    <n v="3"/>
    <n v="15000"/>
    <n v="45000"/>
    <m/>
    <s v="May"/>
    <x v="0"/>
  </r>
  <r>
    <d v="2026-05-11T00:00:00"/>
    <s v="Kabel Kupling"/>
    <n v="2"/>
    <n v="10000"/>
    <n v="20000"/>
    <m/>
    <s v="May"/>
    <x v="0"/>
  </r>
  <r>
    <d v="2026-05-11T00:00:00"/>
    <s v="Karet Mounting"/>
    <n v="1"/>
    <n v="20000"/>
    <n v="20000"/>
    <m/>
    <s v="May"/>
    <x v="0"/>
  </r>
  <r>
    <d v="2026-05-11T00:00:00"/>
    <s v="Selang bensin Vemsa"/>
    <n v="1"/>
    <n v="13000"/>
    <n v="13000"/>
    <m/>
    <s v="May"/>
    <x v="0"/>
  </r>
  <r>
    <d v="2026-05-11T00:00:00"/>
    <s v="Saklar Grabor"/>
    <n v="1"/>
    <n v="35000"/>
    <n v="35000"/>
    <m/>
    <s v="May"/>
    <x v="0"/>
  </r>
  <r>
    <d v="2026-05-11T00:00:00"/>
    <s v="Karet tutup tangki"/>
    <n v="1"/>
    <n v="15000"/>
    <n v="15000"/>
    <m/>
    <s v="May"/>
    <x v="0"/>
  </r>
  <r>
    <d v="2026-05-11T00:00:00"/>
    <s v="Karet dada/klakson"/>
    <n v="1"/>
    <n v="15000"/>
    <n v="15000"/>
    <m/>
    <s v="May"/>
    <x v="0"/>
  </r>
  <r>
    <d v="2026-05-11T00:00:00"/>
    <s v="Baud tutup Karbu"/>
    <n v="3"/>
    <n v="7000"/>
    <n v="21000"/>
    <m/>
    <s v="May"/>
    <x v="0"/>
  </r>
  <r>
    <d v="2026-05-11T00:00:00"/>
    <s v="Stut 1 Set Vesgio"/>
    <n v="1"/>
    <n v="33000"/>
    <n v="33000"/>
    <m/>
    <s v="May"/>
    <x v="0"/>
  </r>
  <r>
    <d v="2026-05-11T00:00:00"/>
    <s v="Oli Mesin"/>
    <n v="1"/>
    <n v="15000"/>
    <n v="15000"/>
    <m/>
    <s v="May"/>
    <x v="0"/>
  </r>
  <r>
    <d v="2026-05-11T00:00:00"/>
    <s v="As Ayun Omega"/>
    <n v="1"/>
    <n v="30000"/>
    <n v="30000"/>
    <m/>
    <s v="May"/>
    <x v="0"/>
  </r>
  <r>
    <d v="2026-05-11T00:00:00"/>
    <s v="Baud Handle"/>
    <n v="1"/>
    <n v="15000"/>
    <n v="15000"/>
    <m/>
    <s v="May"/>
    <x v="0"/>
  </r>
  <r>
    <d v="2026-05-11T00:00:00"/>
    <s v="Oli Mesin"/>
    <n v="1"/>
    <n v="15000"/>
    <n v="15000"/>
    <m/>
    <s v="May"/>
    <x v="0"/>
  </r>
  <r>
    <d v="2026-05-11T00:00:00"/>
    <s v="Baud boring"/>
    <n v="1"/>
    <n v="10000"/>
    <n v="10000"/>
    <m/>
    <s v="May"/>
    <x v="0"/>
  </r>
  <r>
    <d v="2026-05-12T00:00:00"/>
    <s v="Oli Mesin"/>
    <n v="1"/>
    <n v="18000"/>
    <n v="18000"/>
    <m/>
    <s v="May"/>
    <x v="1"/>
  </r>
  <r>
    <d v="2026-05-12T00:00:00"/>
    <s v="Kampas Kupling Vifo"/>
    <n v="1"/>
    <n v="85000"/>
    <n v="85000"/>
    <m/>
    <s v="May"/>
    <x v="1"/>
  </r>
  <r>
    <d v="2026-05-12T00:00:00"/>
    <s v="Kabel Kupling"/>
    <n v="1"/>
    <n v="10000"/>
    <n v="10000"/>
    <m/>
    <s v="May"/>
    <x v="1"/>
  </r>
  <r>
    <d v="2026-05-12T00:00:00"/>
    <s v="Oli Mesin"/>
    <n v="1"/>
    <n v="18000"/>
    <n v="18000"/>
    <m/>
    <s v="May"/>
    <x v="1"/>
  </r>
  <r>
    <d v="2026-05-13T00:00:00"/>
    <s v="Kabel Kupling"/>
    <n v="1"/>
    <n v="10000"/>
    <n v="10000"/>
    <m/>
    <s v="May"/>
    <x v="5"/>
  </r>
  <r>
    <d v="2026-05-13T00:00:00"/>
    <s v="Busi NGK T5999"/>
    <n v="1"/>
    <n v="20000"/>
    <n v="20000"/>
    <m/>
    <s v="May"/>
    <x v="5"/>
  </r>
  <r>
    <d v="2026-05-13T00:00:00"/>
    <s v="Gasoli besar"/>
    <n v="1"/>
    <n v="30000"/>
    <n v="30000"/>
    <m/>
    <s v="May"/>
    <x v="5"/>
  </r>
  <r>
    <d v="2026-05-13T00:00:00"/>
    <s v="Oli Vemsa"/>
    <n v="1"/>
    <n v="80000"/>
    <n v="80000"/>
    <s v="Tf"/>
    <s v="May"/>
    <x v="5"/>
  </r>
  <r>
    <d v="2026-05-13T00:00:00"/>
    <s v="Spul Jalan Dan Motor"/>
    <n v="1"/>
    <n v="130000"/>
    <n v="130000"/>
    <m/>
    <s v="May"/>
    <x v="5"/>
  </r>
  <r>
    <d v="2026-05-13T00:00:00"/>
    <s v="Lampu Sela"/>
    <n v="1"/>
    <n v="15000"/>
    <n v="15000"/>
    <m/>
    <s v="May"/>
    <x v="5"/>
  </r>
  <r>
    <d v="2026-05-13T00:00:00"/>
    <s v="Golongan excel"/>
    <n v="1"/>
    <n v="10000"/>
    <n v="10000"/>
    <m/>
    <s v="May"/>
    <x v="5"/>
  </r>
  <r>
    <d v="2026-05-13T00:00:00"/>
    <s v="Stut Kuningan"/>
    <n v="1"/>
    <n v="15000"/>
    <n v="15000"/>
    <m/>
    <s v="May"/>
    <x v="5"/>
  </r>
  <r>
    <d v="2026-05-13T00:00:00"/>
    <s v="Kabel rem"/>
    <n v="1"/>
    <n v="12000"/>
    <n v="12000"/>
    <m/>
    <s v="May"/>
    <x v="5"/>
  </r>
  <r>
    <d v="2026-05-13T00:00:00"/>
    <s v="Kabel luar rem Vemsa"/>
    <n v="1"/>
    <n v="17000"/>
    <n v="17000"/>
    <m/>
    <s v="May"/>
    <x v="5"/>
  </r>
  <r>
    <d v="2026-05-14T00:00:00"/>
    <s v="Spi Magnet"/>
    <n v="2"/>
    <n v="5000"/>
    <n v="10000"/>
    <m/>
    <s v="May"/>
    <x v="2"/>
  </r>
  <r>
    <d v="2026-05-14T00:00:00"/>
    <s v="Mur Mahkota"/>
    <n v="1"/>
    <n v="25000"/>
    <n v="25000"/>
    <m/>
    <s v="May"/>
    <x v="2"/>
  </r>
  <r>
    <d v="2026-05-14T00:00:00"/>
    <s v="Bos Kuningan"/>
    <n v="1"/>
    <n v="25000"/>
    <n v="25000"/>
    <m/>
    <s v="May"/>
    <x v="2"/>
  </r>
  <r>
    <d v="2026-05-14T00:00:00"/>
    <s v="Coil Vifo"/>
    <n v="1"/>
    <n v="125000"/>
    <n v="125000"/>
    <m/>
    <s v="May"/>
    <x v="2"/>
  </r>
  <r>
    <d v="2026-05-14T00:00:00"/>
    <s v="Kabel rem"/>
    <n v="1"/>
    <n v="15000"/>
    <n v="15000"/>
    <m/>
    <s v="May"/>
    <x v="2"/>
  </r>
  <r>
    <d v="2026-05-15T00:00:00"/>
    <s v="Mur Roda 22"/>
    <n v="1"/>
    <n v="10000"/>
    <n v="10000"/>
    <m/>
    <s v="May"/>
    <x v="3"/>
  </r>
  <r>
    <d v="2026-05-15T00:00:00"/>
    <s v="Kunci Kontak Pinasco 1 set"/>
    <n v="1"/>
    <n v="37000"/>
    <n v="37000"/>
    <m/>
    <s v="May"/>
    <x v="3"/>
  </r>
  <r>
    <d v="2026-05-16T00:00:00"/>
    <s v="Olsam Idemitsu"/>
    <n v="1"/>
    <n v="52000"/>
    <n v="52000"/>
    <m/>
    <s v="May"/>
    <x v="4"/>
  </r>
  <r>
    <d v="2026-05-16T00:00:00"/>
    <s v="Steel plate Super"/>
    <n v="1"/>
    <n v="30000"/>
    <n v="30000"/>
    <m/>
    <s v="May"/>
    <x v="4"/>
  </r>
  <r>
    <d v="2026-05-16T00:00:00"/>
    <s v="Ring baja Kupling"/>
    <n v="1"/>
    <n v="10000"/>
    <n v="10000"/>
    <m/>
    <s v="May"/>
    <x v="4"/>
  </r>
  <r>
    <d v="2026-05-16T00:00:00"/>
    <s v="Kabel Kupling"/>
    <n v="1"/>
    <n v="10000"/>
    <n v="10000"/>
    <m/>
    <s v="May"/>
    <x v="4"/>
  </r>
  <r>
    <d v="2026-05-16T00:00:00"/>
    <s v="Kabel persneling"/>
    <n v="1"/>
    <n v="10000"/>
    <n v="10000"/>
    <m/>
    <s v="May"/>
    <x v="4"/>
  </r>
  <r>
    <d v="2026-05-16T00:00:00"/>
    <s v="Kabel gas"/>
    <n v="1"/>
    <n v="10000"/>
    <n v="10000"/>
    <m/>
    <s v="May"/>
    <x v="4"/>
  </r>
  <r>
    <d v="2026-05-16T00:00:00"/>
    <s v="Spuyer bensin 105"/>
    <n v="1"/>
    <n v="10000"/>
    <n v="10000"/>
    <m/>
    <s v="May"/>
    <x v="4"/>
  </r>
  <r>
    <d v="2026-05-16T00:00:00"/>
    <s v="Busi NGK T6000"/>
    <n v="1"/>
    <n v="20000"/>
    <n v="20000"/>
    <m/>
    <s v="May"/>
    <x v="4"/>
  </r>
  <r>
    <d v="2026-05-16T00:00:00"/>
    <s v="Kabel persneling"/>
    <n v="1"/>
    <n v="10000"/>
    <n v="10000"/>
    <m/>
    <s v="May"/>
    <x v="4"/>
  </r>
  <r>
    <d v="2026-05-18T00:00:00"/>
    <s v="Nepel Kupling"/>
    <n v="2"/>
    <n v="5000"/>
    <n v="10000"/>
    <m/>
    <s v="May"/>
    <x v="0"/>
  </r>
  <r>
    <d v="2026-05-18T00:00:00"/>
    <s v="Oli Mesin"/>
    <n v="5"/>
    <n v="21000"/>
    <n v="105000"/>
    <m/>
    <s v="May"/>
    <x v="0"/>
  </r>
  <r>
    <d v="2026-05-18T00:00:00"/>
    <s v="Jejengkolan"/>
    <n v="7"/>
    <n v="5000"/>
    <n v="35000"/>
    <m/>
    <s v="May"/>
    <x v="0"/>
  </r>
  <r>
    <d v="2026-05-18T00:00:00"/>
    <s v="Snap ring Kupling"/>
    <n v="1"/>
    <n v="20000"/>
    <n v="20000"/>
    <m/>
    <s v="May"/>
    <x v="0"/>
  </r>
  <r>
    <d v="2026-05-18T00:00:00"/>
    <s v="Kampas Kupling Ricambi"/>
    <n v="1"/>
    <n v="40000"/>
    <n v="40000"/>
    <m/>
    <s v="May"/>
    <x v="0"/>
  </r>
  <r>
    <d v="2026-05-18T00:00:00"/>
    <s v="Olsam Pikoli"/>
    <n v="2"/>
    <n v="40000"/>
    <n v="80000"/>
    <m/>
    <s v="May"/>
    <x v="0"/>
  </r>
  <r>
    <d v="2026-05-18T00:00:00"/>
    <s v="Golongan Vesgio"/>
    <n v="1"/>
    <n v="30000"/>
    <n v="30000"/>
    <m/>
    <s v="May"/>
    <x v="0"/>
  </r>
  <r>
    <d v="2026-05-18T00:00:00"/>
    <s v="Mangkok Kupling"/>
    <n v="1"/>
    <n v="45000"/>
    <n v="45000"/>
    <m/>
    <s v="May"/>
    <x v="0"/>
  </r>
  <r>
    <d v="2026-05-18T00:00:00"/>
    <s v="As Ayun Omega"/>
    <n v="1"/>
    <n v="30000"/>
    <n v="30000"/>
    <m/>
    <s v="May"/>
    <x v="0"/>
  </r>
  <r>
    <d v="2026-05-18T00:00:00"/>
    <s v="Gasoli"/>
    <n v="2"/>
    <n v="10000"/>
    <n v="20000"/>
    <m/>
    <s v="May"/>
    <x v="0"/>
  </r>
  <r>
    <d v="2026-05-19T00:00:00"/>
    <s v="Switch rem Vfo"/>
    <n v="1"/>
    <n v="20000"/>
    <n v="20000"/>
    <m/>
    <s v="May"/>
    <x v="1"/>
  </r>
  <r>
    <d v="2026-05-20T00:00:00"/>
    <s v="Spuyer px"/>
    <n v="1"/>
    <n v="42000"/>
    <n v="42000"/>
    <m/>
    <s v="May"/>
    <x v="5"/>
  </r>
  <r>
    <d v="2026-05-20T00:00:00"/>
    <s v="Bak persneling"/>
    <n v="1"/>
    <n v="115000"/>
    <n v="115000"/>
    <s v="Tf"/>
    <s v="May"/>
    <x v="5"/>
  </r>
  <r>
    <d v="2026-05-20T00:00:00"/>
    <s v="Klakson Cpm"/>
    <n v="1"/>
    <n v="65000"/>
    <n v="65000"/>
    <m/>
    <s v="May"/>
    <x v="5"/>
  </r>
  <r>
    <d v="2026-05-20T00:00:00"/>
    <s v="Handgrip"/>
    <n v="2"/>
    <n v="25000"/>
    <n v="50000"/>
    <m/>
    <s v="May"/>
    <x v="5"/>
  </r>
  <r>
    <d v="2026-05-20T00:00:00"/>
    <s v="Tutup fork"/>
    <n v="1"/>
    <n v="35000"/>
    <n v="35000"/>
    <m/>
    <s v="May"/>
    <x v="5"/>
  </r>
  <r>
    <d v="2026-05-20T00:00:00"/>
    <s v="Tutup tromol"/>
    <n v="1"/>
    <n v="22500"/>
    <n v="22500"/>
    <m/>
    <s v="May"/>
    <x v="5"/>
  </r>
  <r>
    <d v="2026-05-20T00:00:00"/>
    <s v="Stoplam belakang"/>
    <n v="1"/>
    <n v="40000"/>
    <n v="40000"/>
    <m/>
    <s v="May"/>
    <x v="5"/>
  </r>
  <r>
    <d v="2026-05-20T00:00:00"/>
    <s v="Dudukan as"/>
    <n v="1"/>
    <n v="30000"/>
    <n v="30000"/>
    <m/>
    <s v="May"/>
    <x v="5"/>
  </r>
  <r>
    <d v="2026-05-20T00:00:00"/>
    <s v="Keran bensin"/>
    <n v="1"/>
    <n v="70000"/>
    <n v="70000"/>
    <m/>
    <s v="May"/>
    <x v="5"/>
  </r>
  <r>
    <d v="2026-05-20T00:00:00"/>
    <s v="Lis Cengkir"/>
    <n v="1"/>
    <n v="135000"/>
    <n v="135000"/>
    <m/>
    <s v="May"/>
    <x v="5"/>
  </r>
  <r>
    <d v="2026-05-20T00:00:00"/>
    <s v="Velg"/>
    <n v="1"/>
    <n v="180000"/>
    <n v="180000"/>
    <m/>
    <s v="May"/>
    <x v="5"/>
  </r>
  <r>
    <d v="2026-05-21T00:00:00"/>
    <s v="Laher ntn"/>
    <n v="2"/>
    <n v="112000"/>
    <n v="224000"/>
    <m/>
    <s v="May"/>
    <x v="2"/>
  </r>
  <r>
    <d v="2026-05-21T00:00:00"/>
    <s v="Plate gigi susun"/>
    <n v="1"/>
    <n v="50000"/>
    <n v="50000"/>
    <m/>
    <s v="May"/>
    <x v="2"/>
  </r>
  <r>
    <d v="2026-05-21T00:00:00"/>
    <s v="Busi"/>
    <n v="2"/>
    <n v="25000"/>
    <n v="50000"/>
    <m/>
    <s v="May"/>
    <x v="2"/>
  </r>
  <r>
    <d v="2026-05-21T00:00:00"/>
    <s v="Laher borobudur ntn"/>
    <n v="1"/>
    <n v="15000"/>
    <n v="15000"/>
    <m/>
    <s v="May"/>
    <x v="2"/>
  </r>
  <r>
    <d v="2026-05-21T00:00:00"/>
    <s v="Ring Kupu-kupu"/>
    <n v="2"/>
    <n v="15000"/>
    <n v="30000"/>
    <m/>
    <s v="May"/>
    <x v="2"/>
  </r>
  <r>
    <d v="2026-05-21T00:00:00"/>
    <s v="Kampas rem"/>
    <n v="1"/>
    <n v="42000"/>
    <n v="42000"/>
    <m/>
    <s v="May"/>
    <x v="2"/>
  </r>
  <r>
    <d v="2026-05-21T00:00:00"/>
    <s v="Per Standar"/>
    <n v="2"/>
    <n v="15000"/>
    <n v="30000"/>
    <m/>
    <s v="May"/>
    <x v="2"/>
  </r>
  <r>
    <d v="2026-05-21T00:00:00"/>
    <s v="Ban Dalam ring 8"/>
    <n v="1"/>
    <n v="45000"/>
    <n v="45000"/>
    <m/>
    <s v="May"/>
    <x v="2"/>
  </r>
  <r>
    <d v="2026-05-22T00:00:00"/>
    <s v="Bos Kuningan"/>
    <n v="1"/>
    <n v="25000"/>
    <n v="25000"/>
    <m/>
    <s v="May"/>
    <x v="3"/>
  </r>
  <r>
    <d v="2026-05-22T00:00:00"/>
    <s v="Oli Mesin"/>
    <n v="1"/>
    <n v="25000"/>
    <n v="25000"/>
    <m/>
    <s v="May"/>
    <x v="3"/>
  </r>
  <r>
    <d v="2026-05-22T00:00:00"/>
    <s v="Nipel Kupling"/>
    <n v="2"/>
    <n v="5000"/>
    <n v="10000"/>
    <m/>
    <s v="May"/>
    <x v="3"/>
  </r>
  <r>
    <d v="2026-05-22T00:00:00"/>
    <s v="Oli Mesin"/>
    <n v="1"/>
    <n v="25000"/>
    <n v="25000"/>
    <m/>
    <s v="May"/>
    <x v="3"/>
  </r>
  <r>
    <d v="2026-05-22T00:00:00"/>
    <s v="Speedo Mika Speedo"/>
    <n v="1"/>
    <n v="35000"/>
    <n v="35000"/>
    <m/>
    <s v="May"/>
    <x v="3"/>
  </r>
  <r>
    <d v="2026-05-23T00:00:00"/>
    <s v="Laher Mainshaft Vesgio"/>
    <n v="1"/>
    <n v="32000"/>
    <n v="32000"/>
    <m/>
    <s v="May"/>
    <x v="4"/>
  </r>
  <r>
    <d v="2026-05-23T00:00:00"/>
    <s v="Kabel dalam rem"/>
    <n v="1"/>
    <n v="10000"/>
    <n v="10000"/>
    <m/>
    <s v="May"/>
    <x v="4"/>
  </r>
  <r>
    <d v="2026-05-23T00:00:00"/>
    <s v="Saklar Loo Minden"/>
    <n v="1"/>
    <n v="53000"/>
    <n v="53000"/>
    <m/>
    <s v="May"/>
    <x v="4"/>
  </r>
  <r>
    <d v="2026-05-23T00:00:00"/>
    <s v="Gasoli"/>
    <n v="1"/>
    <n v="10000"/>
    <n v="10000"/>
    <m/>
    <s v="May"/>
    <x v="4"/>
  </r>
  <r>
    <d v="2026-05-23T00:00:00"/>
    <s v="Ring Kupu-kupu"/>
    <n v="1"/>
    <n v="15000"/>
    <n v="15000"/>
    <m/>
    <s v="May"/>
    <x v="4"/>
  </r>
  <r>
    <d v="2026-05-25T00:00:00"/>
    <s v="Oli Mesin"/>
    <n v="1"/>
    <n v="25000"/>
    <n v="25000"/>
    <m/>
    <s v="May"/>
    <x v="0"/>
  </r>
  <r>
    <d v="2026-05-30T00:00:00"/>
    <s v="Selahan Super"/>
    <n v="1"/>
    <n v="80000"/>
    <n v="80000"/>
    <m/>
    <s v="May"/>
    <x v="4"/>
  </r>
  <r>
    <d v="2026-05-30T00:00:00"/>
    <s v="Kabel persneling"/>
    <n v="1"/>
    <n v="10000"/>
    <n v="10000"/>
    <m/>
    <s v="May"/>
    <x v="4"/>
  </r>
  <r>
    <d v="2026-05-30T00:00:00"/>
    <s v="Nipel persneling"/>
    <n v="1"/>
    <n v="5000"/>
    <n v="5000"/>
    <m/>
    <s v="May"/>
    <x v="4"/>
  </r>
  <r>
    <d v="2026-05-30T00:00:00"/>
    <s v="Kabel Kupling"/>
    <n v="1"/>
    <n v="10000"/>
    <n v="10000"/>
    <m/>
    <s v="May"/>
    <x v="4"/>
  </r>
  <r>
    <d v="2026-05-30T00:00:00"/>
    <s v="Angka 9"/>
    <n v="1"/>
    <n v="15000"/>
    <n v="15000"/>
    <m/>
    <s v="May"/>
    <x v="4"/>
  </r>
  <r>
    <d v="2026-05-30T00:00:00"/>
    <s v="Kabel Kupling"/>
    <n v="1"/>
    <n v="10000"/>
    <n v="10000"/>
    <m/>
    <s v="May"/>
    <x v="4"/>
  </r>
  <r>
    <d v="2026-05-30T00:00:00"/>
    <s v="Kampas rem"/>
    <n v="1"/>
    <n v="42000"/>
    <n v="42000"/>
    <m/>
    <s v="May"/>
    <x v="4"/>
  </r>
  <r>
    <d v="2026-05-30T00:00:00"/>
    <s v="Seal roda"/>
    <n v="1"/>
    <n v="15000"/>
    <n v="15000"/>
    <m/>
    <s v="May"/>
    <x v="4"/>
  </r>
  <r>
    <d v="2026-05-30T00:00:00"/>
    <s v="Baud Shock depan"/>
    <n v="1"/>
    <n v="10000"/>
    <n v="10000"/>
    <m/>
    <s v="May"/>
    <x v="4"/>
  </r>
  <r>
    <d v="2026-05-30T00:00:00"/>
    <s v="Baud Shock belakang"/>
    <n v="1"/>
    <n v="10000"/>
    <n v="10000"/>
    <m/>
    <s v="May"/>
    <x v="4"/>
  </r>
  <r>
    <d v="2026-05-30T00:00:00"/>
    <s v="Mur Roda 22"/>
    <n v="1"/>
    <n v="10000"/>
    <n v="10000"/>
    <m/>
    <s v="May"/>
    <x v="4"/>
  </r>
  <r>
    <d v="2026-05-30T00:00:00"/>
    <s v="Piringan tromol"/>
    <n v="1"/>
    <n v="25000"/>
    <n v="25000"/>
    <m/>
    <s v="May"/>
    <x v="4"/>
  </r>
  <r>
    <d v="2026-05-30T00:00:00"/>
    <s v="Tutup Kipas"/>
    <n v="1"/>
    <n v="80000"/>
    <n v="80000"/>
    <m/>
    <s v="May"/>
    <x v="4"/>
  </r>
  <r>
    <d v="2026-05-30T00:00:00"/>
    <s v="Reflektor Lumax"/>
    <n v="1"/>
    <n v="175000"/>
    <n v="175000"/>
    <m/>
    <s v="May"/>
    <x v="4"/>
  </r>
  <r>
    <d v="2026-05-30T00:00:00"/>
    <s v="Velg 10"/>
    <n v="1"/>
    <n v="180000"/>
    <n v="180000"/>
    <m/>
    <s v="May"/>
    <x v="4"/>
  </r>
  <r>
    <d v="2026-05-30T00:00:00"/>
    <s v="Kabel persneling"/>
    <n v="1"/>
    <n v="10000"/>
    <n v="10000"/>
    <m/>
    <s v="May"/>
    <x v="4"/>
  </r>
  <r>
    <d v="2026-05-30T00:00:00"/>
    <s v="Busi NGK T6000"/>
    <n v="1"/>
    <n v="20000"/>
    <n v="20000"/>
    <m/>
    <s v="May"/>
    <x v="4"/>
  </r>
  <r>
    <d v="2026-06-01T00:00:00"/>
    <s v="Handgrip"/>
    <n v="1"/>
    <n v="25000"/>
    <n v="25000"/>
    <m/>
    <s v="Jun"/>
    <x v="0"/>
  </r>
  <r>
    <d v="2026-06-01T00:00:00"/>
    <s v="Kampas rem"/>
    <n v="1"/>
    <n v="42000"/>
    <n v="42000"/>
    <m/>
    <s v="Jun"/>
    <x v="0"/>
  </r>
  <r>
    <d v="2026-06-01T00:00:00"/>
    <s v="Oli Mesin"/>
    <n v="1"/>
    <n v="25000"/>
    <n v="25000"/>
    <m/>
    <s v="Jun"/>
    <x v="0"/>
  </r>
  <r>
    <d v="2026-06-01T00:00:00"/>
    <s v="Gasoli"/>
    <n v="1"/>
    <n v="10000"/>
    <n v="10000"/>
    <m/>
    <s v="Jun"/>
    <x v="0"/>
  </r>
  <r>
    <d v="2026-06-02T00:00:00"/>
    <s v="Laher 6204 NTN"/>
    <n v="1"/>
    <n v="32000"/>
    <n v="32000"/>
    <m/>
    <s v="Jun"/>
    <x v="1"/>
  </r>
  <r>
    <d v="2026-06-02T00:00:00"/>
    <s v="Laher 6302 NTN"/>
    <n v="1"/>
    <n v="34000"/>
    <n v="34000"/>
    <m/>
    <s v="Jun"/>
    <x v="1"/>
  </r>
  <r>
    <d v="2026-06-02T00:00:00"/>
    <s v="Gigi Kris Vesgio"/>
    <n v="1"/>
    <n v="36000"/>
    <n v="36000"/>
    <m/>
    <s v="Jun"/>
    <x v="1"/>
  </r>
  <r>
    <d v="2026-06-02T00:00:00"/>
    <s v="Laher Krus as Palesa"/>
    <n v="1"/>
    <n v="45000"/>
    <n v="45000"/>
    <m/>
    <s v="Jun"/>
    <x v="1"/>
  </r>
  <r>
    <d v="2026-06-02T00:00:00"/>
    <s v="Oli Mesin"/>
    <n v="1"/>
    <n v="25000"/>
    <n v="25000"/>
    <m/>
    <s v="Jun"/>
    <x v="1"/>
  </r>
  <r>
    <d v="2026-06-02T00:00:00"/>
    <s v="paking Set"/>
    <n v="1"/>
    <n v="10000"/>
    <n v="10000"/>
    <m/>
    <s v="Jun"/>
    <x v="1"/>
  </r>
  <r>
    <d v="2026-06-02T00:00:00"/>
    <s v="Laher Mimis"/>
    <n v="1"/>
    <n v="15000"/>
    <n v="15000"/>
    <m/>
    <s v="Jun"/>
    <x v="1"/>
  </r>
  <r>
    <d v="2026-06-02T00:00:00"/>
    <s v="Seal Roda"/>
    <n v="1"/>
    <n v="15000"/>
    <n v="15000"/>
    <m/>
    <s v="Jun"/>
    <x v="1"/>
  </r>
  <r>
    <d v="2026-06-02T00:00:00"/>
    <s v="Laher Mainshaft Vifo"/>
    <n v="1"/>
    <n v="37000"/>
    <n v="37000"/>
    <m/>
    <s v="Jun"/>
    <x v="1"/>
  </r>
  <r>
    <d v="2026-06-02T00:00:00"/>
    <s v="Gasoli Besar"/>
    <n v="1"/>
    <n v="33000"/>
    <n v="33000"/>
    <m/>
    <s v="Jun"/>
    <x v="1"/>
  </r>
  <r>
    <d v="2026-06-02T00:00:00"/>
    <s v="Kabel Kupling"/>
    <n v="1"/>
    <n v="10000"/>
    <n v="10000"/>
    <m/>
    <s v="Jun"/>
    <x v="1"/>
  </r>
  <r>
    <d v="2026-06-02T00:00:00"/>
    <s v="Kabel gas"/>
    <n v="1"/>
    <n v="10000"/>
    <n v="10000"/>
    <m/>
    <s v="Jun"/>
    <x v="1"/>
  </r>
  <r>
    <d v="2026-06-02T00:00:00"/>
    <s v="Kabel persneling"/>
    <n v="2"/>
    <n v="10000"/>
    <n v="20000"/>
    <m/>
    <s v="Jun"/>
    <x v="1"/>
  </r>
  <r>
    <d v="2026-06-02T00:00:00"/>
    <s v="Kabel luar Vemsa"/>
    <n v="3"/>
    <n v="26000"/>
    <n v="78000"/>
    <m/>
    <s v="Jun"/>
    <x v="1"/>
  </r>
  <r>
    <d v="2026-06-03T00:00:00"/>
    <s v="Kampas Kupling Dan Motor 6"/>
    <n v="1"/>
    <n v="125000"/>
    <n v="125000"/>
    <m/>
    <s v="Jun"/>
    <x v="5"/>
  </r>
  <r>
    <d v="2026-06-03T00:00:00"/>
    <s v="Olsam Eneos"/>
    <n v="1"/>
    <n v="55000"/>
    <n v="55000"/>
    <m/>
    <s v="Jun"/>
    <x v="5"/>
  </r>
  <r>
    <d v="2026-06-03T00:00:00"/>
    <s v="As Ayun Omega"/>
    <n v="1"/>
    <n v="30000"/>
    <n v="30000"/>
    <m/>
    <s v="Jun"/>
    <x v="5"/>
  </r>
  <r>
    <d v="2026-06-03T00:00:00"/>
    <s v="Kabel luar Vemsa"/>
    <n v="1"/>
    <n v="26000"/>
    <n v="26000"/>
    <m/>
    <s v="Jun"/>
    <x v="5"/>
  </r>
  <r>
    <d v="2026-06-03T00:00:00"/>
    <s v="Lampu Sela"/>
    <n v="1"/>
    <n v="15000"/>
    <n v="15000"/>
    <m/>
    <s v="Jun"/>
    <x v="5"/>
  </r>
  <r>
    <d v="2026-06-03T00:00:00"/>
    <s v="Oli Mesin"/>
    <n v="1"/>
    <n v="25000"/>
    <n v="25000"/>
    <m/>
    <s v="Jun"/>
    <x v="5"/>
  </r>
  <r>
    <d v="2026-06-03T00:00:00"/>
    <s v="Tutup tangki"/>
    <n v="1"/>
    <n v="28000"/>
    <n v="28000"/>
    <m/>
    <s v="Jun"/>
    <x v="5"/>
  </r>
  <r>
    <d v="2026-06-03T00:00:00"/>
    <s v="Gigi Silang"/>
    <n v="1"/>
    <n v="27000"/>
    <n v="27000"/>
    <m/>
    <s v="Jun"/>
    <x v="5"/>
  </r>
  <r>
    <d v="2026-06-03T00:00:00"/>
    <s v="paking"/>
    <n v="1"/>
    <n v="10000"/>
    <n v="10000"/>
    <m/>
    <s v="Jun"/>
    <x v="5"/>
  </r>
  <r>
    <d v="2026-06-03T00:00:00"/>
    <s v="Spuyer"/>
    <n v="1"/>
    <n v="42000"/>
    <n v="42000"/>
    <s v="Tf"/>
    <s v="Jun"/>
    <x v="5"/>
  </r>
  <r>
    <d v="2026-06-04T00:00:00"/>
    <s v="Olsam Evalube"/>
    <n v="1"/>
    <n v="38500"/>
    <n v="38500"/>
    <m/>
    <s v="Jun"/>
    <x v="2"/>
  </r>
  <r>
    <d v="2026-06-04T00:00:00"/>
    <s v="Per Kupling"/>
    <n v="5"/>
    <n v="6000"/>
    <n v="30000"/>
    <m/>
    <s v="Jun"/>
    <x v="2"/>
  </r>
  <r>
    <d v="2026-06-04T00:00:00"/>
    <s v="Kabel Kupling"/>
    <n v="2"/>
    <n v="10000"/>
    <n v="20000"/>
    <m/>
    <s v="Jun"/>
    <x v="2"/>
  </r>
  <r>
    <d v="2026-06-05T00:00:00"/>
    <s v="Sepatu Standar"/>
    <n v="1"/>
    <n v="35000"/>
    <n v="35000"/>
    <m/>
    <s v="Jun"/>
    <x v="3"/>
  </r>
  <r>
    <d v="2026-06-05T00:00:00"/>
    <s v="Standar Dan Motor"/>
    <n v="1"/>
    <n v="175000"/>
    <n v="175000"/>
    <m/>
    <s v="Jun"/>
    <x v="3"/>
  </r>
  <r>
    <d v="2026-06-05T00:00:00"/>
    <s v="Per Standar"/>
    <n v="1"/>
    <n v="15000"/>
    <n v="15000"/>
    <m/>
    <s v="Jun"/>
    <x v="3"/>
  </r>
  <r>
    <d v="2026-06-05T00:00:00"/>
    <s v="Spul Lampu"/>
    <n v="4"/>
    <n v="25000"/>
    <n v="100000"/>
    <m/>
    <s v="Jun"/>
    <x v="3"/>
  </r>
  <r>
    <d v="2026-06-05T00:00:00"/>
    <s v="Padudan Busi"/>
    <n v="1"/>
    <n v="15000"/>
    <n v="15000"/>
    <m/>
    <s v="Jun"/>
    <x v="3"/>
  </r>
  <r>
    <d v="2026-06-05T00:00:00"/>
    <s v="Busi"/>
    <n v="1"/>
    <n v="25000"/>
    <n v="25000"/>
    <s v="Tf"/>
    <s v="Jun"/>
    <x v="3"/>
  </r>
  <r>
    <d v="2026-06-05T00:00:00"/>
    <s v="Oli Mesin"/>
    <n v="1"/>
    <n v="25000"/>
    <n v="25000"/>
    <m/>
    <s v="Jun"/>
    <x v="3"/>
  </r>
  <r>
    <d v="2026-06-05T00:00:00"/>
    <s v="Olsam Idemitsu"/>
    <n v="1"/>
    <n v="55000"/>
    <n v="55000"/>
    <m/>
    <s v="Jun"/>
    <x v="3"/>
  </r>
  <r>
    <d v="2026-06-06T00:00:00"/>
    <s v="Spul Jalan Dan Motor"/>
    <n v="1"/>
    <n v="130000"/>
    <n v="130000"/>
    <m/>
    <s v="Jun"/>
    <x v="4"/>
  </r>
  <r>
    <d v="2026-06-06T00:00:00"/>
    <s v="Selahan"/>
    <n v="1"/>
    <n v="80000"/>
    <n v="80000"/>
    <m/>
    <s v="Jun"/>
    <x v="4"/>
  </r>
  <r>
    <d v="2026-06-06T00:00:00"/>
    <s v="Standar"/>
    <n v="1"/>
    <n v="100000"/>
    <n v="100000"/>
    <m/>
    <s v="Jun"/>
    <x v="4"/>
  </r>
  <r>
    <d v="2026-06-06T00:00:00"/>
    <s v="Busi"/>
    <n v="1"/>
    <n v="25000"/>
    <n v="25000"/>
    <m/>
    <s v="Jun"/>
    <x v="4"/>
  </r>
  <r>
    <d v="2026-06-06T00:00:00"/>
    <s v="Oli Mesin"/>
    <n v="1"/>
    <n v="25000"/>
    <n v="25000"/>
    <m/>
    <s v="Jun"/>
    <x v="4"/>
  </r>
  <r>
    <d v="2026-06-06T00:00:00"/>
    <s v="Nipel Kupling"/>
    <n v="2"/>
    <n v="5000"/>
    <n v="10000"/>
    <m/>
    <s v="Jun"/>
    <x v="4"/>
  </r>
  <r>
    <d v="2026-06-06T00:00:00"/>
    <s v="Kunci Stang Super"/>
    <n v="1"/>
    <n v="30000"/>
    <n v="30000"/>
    <m/>
    <s v="Jun"/>
    <x v="4"/>
  </r>
  <r>
    <d v="2026-06-06T00:00:00"/>
    <s v="Oli Mesin"/>
    <n v="1"/>
    <n v="25000"/>
    <n v="25000"/>
    <m/>
    <s v="Jun"/>
    <x v="4"/>
  </r>
  <r>
    <d v="2026-06-06T00:00:00"/>
    <s v="Kondensor"/>
    <n v="1"/>
    <n v="25000"/>
    <n v="25000"/>
    <m/>
    <s v="Jun"/>
    <x v="4"/>
  </r>
  <r>
    <d v="2026-06-06T00:00:00"/>
    <s v="Coil"/>
    <n v="1"/>
    <n v="50000"/>
    <n v="50000"/>
    <m/>
    <s v="Jun"/>
    <x v="4"/>
  </r>
  <r>
    <d v="2026-06-09T00:00:00"/>
    <s v="Per Standar"/>
    <n v="1"/>
    <n v="15000"/>
    <n v="15000"/>
    <m/>
    <s v="Jun"/>
    <x v="1"/>
  </r>
  <r>
    <d v="2026-06-09T00:00:00"/>
    <s v="Kabel rem"/>
    <n v="1"/>
    <n v="10000"/>
    <n v="10000"/>
    <m/>
    <s v="Jun"/>
    <x v="1"/>
  </r>
  <r>
    <d v="2026-06-09T00:00:00"/>
    <s v="Busi T5999"/>
    <n v="1"/>
    <n v="25000"/>
    <n v="25000"/>
    <m/>
    <s v="Jun"/>
    <x v="1"/>
  </r>
  <r>
    <d v="2026-06-09T00:00:00"/>
    <s v="Karet tepong"/>
    <n v="1"/>
    <n v="60000"/>
    <n v="60000"/>
    <m/>
    <s v="Jun"/>
    <x v="1"/>
  </r>
  <r>
    <d v="2026-06-09T00:00:00"/>
    <s v="Karet tangki"/>
    <n v="1"/>
    <n v="15000"/>
    <n v="15000"/>
    <m/>
    <s v="Jun"/>
    <x v="1"/>
  </r>
  <r>
    <d v="2026-06-09T00:00:00"/>
    <s v="Baud Handle"/>
    <n v="2"/>
    <n v="7500"/>
    <n v="15000"/>
    <m/>
    <s v="Jun"/>
    <x v="1"/>
  </r>
  <r>
    <d v="2026-06-09T00:00:00"/>
    <s v="Baud Karbu"/>
    <n v="1"/>
    <n v="10000"/>
    <n v="10000"/>
    <m/>
    <s v="Jun"/>
    <x v="1"/>
  </r>
  <r>
    <d v="2026-06-09T00:00:00"/>
    <s v="Tarikan tepong"/>
    <n v="1"/>
    <n v="25000"/>
    <n v="25000"/>
    <m/>
    <s v="Jun"/>
    <x v="1"/>
  </r>
  <r>
    <d v="2026-06-09T00:00:00"/>
    <s v="Kabel rem"/>
    <n v="1"/>
    <n v="10000"/>
    <n v="10000"/>
    <m/>
    <s v="Jun"/>
    <x v="1"/>
  </r>
  <r>
    <d v="2026-06-09T00:00:00"/>
    <s v="baud tutup kipas"/>
    <n v="3"/>
    <n v="5000"/>
    <n v="15000"/>
    <m/>
    <s v="Jun"/>
    <x v="1"/>
  </r>
  <r>
    <d v="2026-06-10T00:00:00"/>
    <s v="Baud tutup Kipas"/>
    <n v="4"/>
    <n v="5000"/>
    <n v="20000"/>
    <m/>
    <s v="Jun"/>
    <x v="5"/>
  </r>
  <r>
    <d v="2026-06-10T00:00:00"/>
    <s v="Sepatu Standar"/>
    <n v="1"/>
    <n v="35000"/>
    <n v="35000"/>
    <m/>
    <s v="Jun"/>
    <x v="5"/>
  </r>
  <r>
    <d v="2026-06-10T00:00:00"/>
    <s v="Kabel Kupling"/>
    <n v="1"/>
    <n v="10000"/>
    <n v="10000"/>
    <m/>
    <s v="Jun"/>
    <x v="5"/>
  </r>
  <r>
    <d v="2026-06-10T00:00:00"/>
    <s v="Busi"/>
    <n v="1"/>
    <n v="25000"/>
    <n v="25000"/>
    <m/>
    <s v="Jun"/>
    <x v="5"/>
  </r>
  <r>
    <d v="2026-06-10T00:00:00"/>
    <s v="Plati"/>
    <n v="1"/>
    <n v="35000"/>
    <n v="35000"/>
    <m/>
    <s v="Jun"/>
    <x v="5"/>
  </r>
  <r>
    <d v="2026-06-10T00:00:00"/>
    <s v="Bantalan Selah"/>
    <n v="2"/>
    <n v="15000"/>
    <n v="30000"/>
    <m/>
    <s v="Jun"/>
    <x v="5"/>
  </r>
  <r>
    <d v="2026-06-11T00:00:00"/>
    <s v="Karet Shock depan"/>
    <n v="1"/>
    <n v="15000"/>
    <n v="15000"/>
    <m/>
    <s v="Jun"/>
    <x v="2"/>
  </r>
  <r>
    <d v="2026-06-11T00:00:00"/>
    <s v="Laher Komstir"/>
    <n v="1"/>
    <n v="15000"/>
    <n v="15000"/>
    <m/>
    <s v="Jun"/>
    <x v="2"/>
  </r>
  <r>
    <d v="2026-06-11T00:00:00"/>
    <s v="Karet Shock belakang"/>
    <n v="1"/>
    <n v="20000"/>
    <n v="20000"/>
    <m/>
    <s v="Jun"/>
    <x v="2"/>
  </r>
  <r>
    <d v="2026-06-11T00:00:00"/>
    <s v="Nipel gas"/>
    <n v="2"/>
    <n v="3000"/>
    <n v="6000"/>
    <m/>
    <s v="Jun"/>
    <x v="2"/>
  </r>
  <r>
    <d v="2026-06-11T00:00:00"/>
    <s v="Mika Sein Dan Motor"/>
    <n v="1"/>
    <n v="40000"/>
    <n v="40000"/>
    <m/>
    <s v="Jun"/>
    <x v="2"/>
  </r>
  <r>
    <d v="2026-06-11T00:00:00"/>
    <s v="Olsam Shell"/>
    <n v="1"/>
    <n v="40000"/>
    <n v="40000"/>
    <s v="Tf"/>
    <s v="Jun"/>
    <x v="2"/>
  </r>
  <r>
    <d v="2026-06-12T00:00:00"/>
    <s v="Gasoli"/>
    <n v="1"/>
    <n v="15000"/>
    <n v="15000"/>
    <m/>
    <s v="Jun"/>
    <x v="3"/>
  </r>
  <r>
    <d v="2026-06-12T00:00:00"/>
    <s v="Parkit"/>
    <n v="1"/>
    <n v="10000"/>
    <n v="10000"/>
    <m/>
    <s v="Jun"/>
    <x v="3"/>
  </r>
  <r>
    <d v="2026-06-12T00:00:00"/>
    <s v="Sepatu Standar"/>
    <n v="1"/>
    <n v="35000"/>
    <n v="35000"/>
    <m/>
    <s v="Jun"/>
    <x v="3"/>
  </r>
  <r>
    <d v="2026-06-12T00:00:00"/>
    <s v="Apolo"/>
    <n v="1"/>
    <n v="17000"/>
    <n v="17000"/>
    <m/>
    <s v="Jun"/>
    <x v="3"/>
  </r>
  <r>
    <d v="2026-06-13T00:00:00"/>
    <s v="Laher Roda 6204 Vifo"/>
    <n v="1"/>
    <n v="35000"/>
    <n v="35000"/>
    <m/>
    <s v="Jun"/>
    <x v="4"/>
  </r>
  <r>
    <d v="2026-06-13T00:00:00"/>
    <s v="Seal Roda 2747"/>
    <n v="1"/>
    <n v="15000"/>
    <n v="15000"/>
    <m/>
    <s v="Jun"/>
    <x v="4"/>
  </r>
  <r>
    <d v="2026-06-13T00:00:00"/>
    <s v="Oli Mesin"/>
    <n v="1"/>
    <n v="27000"/>
    <n v="27000"/>
    <m/>
    <s v="Jun"/>
    <x v="4"/>
  </r>
  <r>
    <d v="2026-06-13T00:00:00"/>
    <s v="Wicheng ex"/>
    <n v="1"/>
    <n v="100000"/>
    <n v="100000"/>
    <m/>
    <s v="Jun"/>
    <x v="4"/>
  </r>
  <r>
    <d v="2026-06-13T00:00:00"/>
    <s v="Per Standar"/>
    <n v="1"/>
    <n v="15000"/>
    <n v="15000"/>
    <m/>
    <s v="Jun"/>
    <x v="4"/>
  </r>
  <r>
    <d v="2026-06-13T00:00:00"/>
    <s v="Karet Mounting"/>
    <n v="1"/>
    <n v="25000"/>
    <n v="25000"/>
    <m/>
    <s v="Jun"/>
    <x v="4"/>
  </r>
  <r>
    <d v="2026-06-15T00:00:00"/>
    <s v="Olsam Evalube"/>
    <n v="1"/>
    <n v="40000"/>
    <n v="40000"/>
    <m/>
    <s v="Jun"/>
    <x v="0"/>
  </r>
  <r>
    <d v="2026-06-15T00:00:00"/>
    <s v="Bumper belakang"/>
    <n v="1"/>
    <n v="63000"/>
    <n v="63000"/>
    <m/>
    <s v="Jun"/>
    <x v="0"/>
  </r>
  <r>
    <d v="2026-06-15T00:00:00"/>
    <s v="Tutup Fork"/>
    <n v="1"/>
    <n v="35000"/>
    <n v="35000"/>
    <m/>
    <s v="Jun"/>
    <x v="0"/>
  </r>
  <r>
    <d v="2026-06-15T00:00:00"/>
    <s v="Stoplam belakang"/>
    <n v="1"/>
    <n v="42000"/>
    <n v="42000"/>
    <m/>
    <s v="Jun"/>
    <x v="0"/>
  </r>
  <r>
    <d v="2026-06-15T00:00:00"/>
    <s v="Copet"/>
    <n v="1"/>
    <n v="15000"/>
    <n v="15000"/>
    <m/>
    <s v="Jun"/>
    <x v="0"/>
  </r>
  <r>
    <d v="2026-06-15T00:00:00"/>
    <s v="Kabel gas"/>
    <n v="1"/>
    <n v="10000"/>
    <n v="10000"/>
    <m/>
    <s v="Jun"/>
    <x v="0"/>
  </r>
  <r>
    <d v="2026-06-15T00:00:00"/>
    <s v="Kampas rem"/>
    <n v="1"/>
    <n v="45000"/>
    <n v="45000"/>
    <m/>
    <s v="Jun"/>
    <x v="0"/>
  </r>
  <r>
    <d v="2026-06-15T00:00:00"/>
    <s v="Mur Roda 22"/>
    <n v="1"/>
    <n v="12000"/>
    <n v="12000"/>
    <m/>
    <s v="Jun"/>
    <x v="0"/>
  </r>
  <r>
    <d v="2026-06-16T00:00:00"/>
    <s v="Per Kampas rem"/>
    <n v="1"/>
    <n v="20000"/>
    <n v="20000"/>
    <m/>
    <s v="Jun"/>
    <x v="1"/>
  </r>
  <r>
    <d v="2026-06-17T00:00:00"/>
    <s v="Switch rem Hyper Vifo"/>
    <n v="1"/>
    <n v="20000"/>
    <n v="20000"/>
    <m/>
    <s v="Jun"/>
    <x v="5"/>
  </r>
  <r>
    <d v="2026-06-17T00:00:00"/>
    <s v="Kabel gas"/>
    <n v="1"/>
    <n v="10000"/>
    <n v="10000"/>
    <m/>
    <s v="Jun"/>
    <x v="5"/>
  </r>
  <r>
    <d v="2026-06-17T00:00:00"/>
    <s v="Seal Kruk As Corteco"/>
    <n v="1"/>
    <n v="35000"/>
    <n v="35000"/>
    <m/>
    <s v="Jun"/>
    <x v="5"/>
  </r>
  <r>
    <d v="2026-06-17T00:00:00"/>
    <s v="Laher bambu Kruk As"/>
    <n v="1"/>
    <n v="72000"/>
    <n v="72000"/>
    <m/>
    <s v="Jun"/>
    <x v="5"/>
  </r>
  <r>
    <d v="2026-06-17T00:00:00"/>
    <s v="Oli Mesin"/>
    <n v="1"/>
    <n v="27000"/>
    <n v="27000"/>
    <m/>
    <s v="Jun"/>
    <x v="5"/>
  </r>
  <r>
    <d v="2026-06-17T00:00:00"/>
    <s v="Stut Kuningan"/>
    <n v="1"/>
    <n v="17000"/>
    <n v="17000"/>
    <m/>
    <s v="Jun"/>
    <x v="5"/>
  </r>
  <r>
    <d v="2026-06-17T00:00:00"/>
    <s v="Angka 9"/>
    <n v="1"/>
    <n v="17000"/>
    <n v="17000"/>
    <m/>
    <s v="Jun"/>
    <x v="5"/>
  </r>
  <r>
    <d v="2026-06-17T00:00:00"/>
    <s v="Kabel persneling"/>
    <n v="2"/>
    <n v="10000"/>
    <n v="20000"/>
    <m/>
    <s v="Jun"/>
    <x v="5"/>
  </r>
  <r>
    <d v="2026-06-17T00:00:00"/>
    <s v="Kabel gas"/>
    <n v="1"/>
    <n v="10000"/>
    <n v="10000"/>
    <m/>
    <s v="Jun"/>
    <x v="5"/>
  </r>
  <r>
    <d v="2026-06-19T00:00:00"/>
    <s v="Kampas Kupling 7 Dan Motor"/>
    <n v="1"/>
    <n v="160000"/>
    <n v="160000"/>
    <m/>
    <s v="Jun"/>
    <x v="3"/>
  </r>
  <r>
    <d v="2026-06-19T00:00:00"/>
    <s v="Kampas rem"/>
    <n v="1"/>
    <n v="45000"/>
    <n v="45000"/>
    <m/>
    <s v="Jun"/>
    <x v="3"/>
  </r>
  <r>
    <d v="2026-06-19T00:00:00"/>
    <s v="Keran Bensin Dan Motor"/>
    <n v="1"/>
    <n v="122000"/>
    <n v="122000"/>
    <m/>
    <s v="Jun"/>
    <x v="3"/>
  </r>
  <r>
    <d v="2026-06-19T00:00:00"/>
    <s v="Stut Kuningan"/>
    <n v="1"/>
    <n v="17000"/>
    <n v="17000"/>
    <m/>
    <s v="Jun"/>
    <x v="3"/>
  </r>
  <r>
    <d v="2026-06-19T00:00:00"/>
    <s v="Ring Matahari"/>
    <n v="1"/>
    <n v="12000"/>
    <n v="12000"/>
    <m/>
    <s v="Jun"/>
    <x v="3"/>
  </r>
  <r>
    <d v="2026-06-19T00:00:00"/>
    <s v="Karet tuas"/>
    <n v="1"/>
    <n v="12000"/>
    <n v="12000"/>
    <m/>
    <s v="Jun"/>
    <x v="3"/>
  </r>
  <r>
    <d v="2026-06-19T00:00:00"/>
    <s v="Kabel Kupling"/>
    <n v="1"/>
    <n v="10000"/>
    <n v="10000"/>
    <m/>
    <s v="Jun"/>
    <x v="3"/>
  </r>
  <r>
    <d v="2026-06-19T00:00:00"/>
    <s v="Nipel Kupling"/>
    <n v="1"/>
    <n v="5000"/>
    <n v="5000"/>
    <m/>
    <s v="Jun"/>
    <x v="3"/>
  </r>
  <r>
    <d v="2026-06-19T00:00:00"/>
    <s v="Busi"/>
    <n v="1"/>
    <n v="25000"/>
    <n v="25000"/>
    <m/>
    <s v="Jun"/>
    <x v="3"/>
  </r>
  <r>
    <d v="2026-06-19T00:00:00"/>
    <s v="Kunci Busi"/>
    <n v="1"/>
    <n v="15000"/>
    <n v="15000"/>
    <m/>
    <s v="Jun"/>
    <x v="3"/>
  </r>
  <r>
    <d v="2026-06-20T00:00:00"/>
    <s v="Laher NTN 6201"/>
    <n v="1"/>
    <n v="32000"/>
    <n v="32000"/>
    <m/>
    <s v="Jun"/>
    <x v="4"/>
  </r>
  <r>
    <d v="2026-06-20T00:00:00"/>
    <s v="Laher NTN 6203"/>
    <n v="1"/>
    <n v="32000"/>
    <n v="32000"/>
    <m/>
    <s v="Jun"/>
    <x v="4"/>
  </r>
  <r>
    <d v="2026-06-20T00:00:00"/>
    <s v="paking"/>
    <n v="1"/>
    <n v="10000"/>
    <n v="10000"/>
    <m/>
    <s v="Jun"/>
    <x v="4"/>
  </r>
  <r>
    <d v="2026-06-20T00:00:00"/>
    <s v="As Sasis"/>
    <n v="1"/>
    <n v="83000"/>
    <n v="83000"/>
    <m/>
    <s v="Jun"/>
    <x v="4"/>
  </r>
  <r>
    <d v="2026-06-20T00:00:00"/>
    <s v="Karet Sasis"/>
    <n v="1"/>
    <n v="25000"/>
    <n v="25000"/>
    <m/>
    <s v="Jun"/>
    <x v="4"/>
  </r>
  <r>
    <d v="2026-06-20T00:00:00"/>
    <s v="Kondensor Bager"/>
    <n v="1"/>
    <n v="25000"/>
    <n v="25000"/>
    <m/>
    <s v="Jun"/>
    <x v="4"/>
  </r>
  <r>
    <d v="2026-06-20T00:00:00"/>
    <s v="Sambungan Shock"/>
    <n v="1"/>
    <n v="22000"/>
    <n v="22000"/>
    <m/>
    <s v="Jun"/>
    <x v="4"/>
  </r>
  <r>
    <d v="2026-06-20T00:00:00"/>
    <s v="Nipel"/>
    <n v="2"/>
    <n v="5000"/>
    <n v="10000"/>
    <m/>
    <s v="Jun"/>
    <x v="4"/>
  </r>
  <r>
    <d v="2026-06-21T00:00:00"/>
    <s v="Busi NGK T5999"/>
    <n v="1"/>
    <n v="25000"/>
    <n v="25000"/>
    <m/>
    <s v="Jun"/>
    <x v="6"/>
  </r>
  <r>
    <d v="2026-06-21T00:00:00"/>
    <s v="Oli Mesin"/>
    <n v="1"/>
    <n v="25000"/>
    <n v="25000"/>
    <m/>
    <s v="Jun"/>
    <x v="6"/>
  </r>
  <r>
    <d v="2026-06-22T00:00:00"/>
    <s v="Baud Tutsuk Sela"/>
    <n v="1"/>
    <n v="6000"/>
    <n v="6000"/>
    <m/>
    <s v="Jun"/>
    <x v="0"/>
  </r>
  <r>
    <d v="2026-06-24T00:00:00"/>
    <s v="Olsam Cni"/>
    <n v="1"/>
    <n v="32000"/>
    <n v="32000"/>
    <m/>
    <s v="Jun"/>
    <x v="5"/>
  </r>
  <r>
    <d v="2026-06-24T00:00:00"/>
    <s v="Oli Mesin"/>
    <n v="1"/>
    <n v="25000"/>
    <n v="25000"/>
    <m/>
    <s v="Jun"/>
    <x v="5"/>
  </r>
  <r>
    <d v="2026-06-24T00:00:00"/>
    <s v="Mur Kupling"/>
    <n v="1"/>
    <n v="12000"/>
    <n v="12000"/>
    <m/>
    <s v="Jun"/>
    <x v="5"/>
  </r>
  <r>
    <d v="2026-06-24T00:00:00"/>
    <s v="Ring Matahari Kupling"/>
    <n v="1"/>
    <n v="12000"/>
    <n v="12000"/>
    <m/>
    <s v="Jun"/>
    <x v="5"/>
  </r>
  <r>
    <d v="2026-06-24T00:00:00"/>
    <s v="Mur 22"/>
    <n v="1"/>
    <n v="12000"/>
    <n v="12000"/>
    <m/>
    <s v="Jun"/>
    <x v="5"/>
  </r>
  <r>
    <d v="2026-06-24T00:00:00"/>
    <s v="Olsam Evalube"/>
    <n v="1"/>
    <n v="40000"/>
    <n v="40000"/>
    <m/>
    <s v="Jun"/>
    <x v="5"/>
  </r>
  <r>
    <d v="2026-06-24T00:00:00"/>
    <s v="Kleman rem"/>
    <n v="1"/>
    <n v="14000"/>
    <n v="14000"/>
    <m/>
    <s v="Jun"/>
    <x v="5"/>
  </r>
  <r>
    <d v="2026-06-24T00:00:00"/>
    <s v="Spi Magnet"/>
    <n v="2"/>
    <n v="7000"/>
    <n v="14000"/>
    <m/>
    <s v="Jun"/>
    <x v="5"/>
  </r>
  <r>
    <d v="2026-06-24T00:00:00"/>
    <s v="Kampas Kupling"/>
    <n v="1"/>
    <n v="42000"/>
    <n v="42000"/>
    <m/>
    <s v="Jun"/>
    <x v="5"/>
  </r>
  <r>
    <d v="2026-06-24T00:00:00"/>
    <s v="Golongan vitalia"/>
    <n v="1"/>
    <n v="35000"/>
    <n v="35000"/>
    <m/>
    <s v="Jun"/>
    <x v="5"/>
  </r>
  <r>
    <d v="2026-06-24T00:00:00"/>
    <s v="Spakbor Dan Motor"/>
    <n v="1"/>
    <n v="63000"/>
    <n v="63000"/>
    <m/>
    <s v="Jun"/>
    <x v="5"/>
  </r>
  <r>
    <d v="2026-06-24T00:00:00"/>
    <s v="Oli Mesin"/>
    <n v="1"/>
    <n v="27000"/>
    <n v="27000"/>
    <m/>
    <s v="Jun"/>
    <x v="5"/>
  </r>
  <r>
    <d v="2026-06-24T00:00:00"/>
    <s v="Ring Matahari"/>
    <n v="1"/>
    <n v="12000"/>
    <n v="12000"/>
    <m/>
    <s v="Jun"/>
    <x v="5"/>
  </r>
  <r>
    <d v="2026-06-24T00:00:00"/>
    <s v="Kampas rem"/>
    <n v="1"/>
    <n v="55000"/>
    <n v="55000"/>
    <m/>
    <s v="Jun"/>
    <x v="5"/>
  </r>
  <r>
    <d v="2026-06-24T00:00:00"/>
    <s v="Spi rem"/>
    <n v="2"/>
    <n v="2000"/>
    <n v="4000"/>
    <m/>
    <s v="Jun"/>
    <x v="5"/>
  </r>
  <r>
    <d v="2026-06-24T00:00:00"/>
    <s v="Kabel Kupling"/>
    <n v="2"/>
    <n v="12000"/>
    <n v="24000"/>
    <m/>
    <s v="Jun"/>
    <x v="5"/>
  </r>
  <r>
    <d v="2026-06-25T00:00:00"/>
    <s v="Olsam Idemitsu"/>
    <n v="1"/>
    <n v="57000"/>
    <n v="57000"/>
    <m/>
    <s v="Jun"/>
    <x v="2"/>
  </r>
  <r>
    <d v="2026-06-25T00:00:00"/>
    <s v="Coil Dan Motor"/>
    <n v="1"/>
    <n v="175000"/>
    <n v="175000"/>
    <m/>
    <s v="Jun"/>
    <x v="2"/>
  </r>
  <r>
    <d v="2026-06-25T00:00:00"/>
    <s v="Bantalan Selah"/>
    <n v="2"/>
    <n v="17000"/>
    <n v="34000"/>
    <m/>
    <s v="Jun"/>
    <x v="2"/>
  </r>
  <r>
    <d v="2026-06-25T00:00:00"/>
    <s v="Gigi Selah"/>
    <n v="1"/>
    <n v="74000"/>
    <n v="74000"/>
    <m/>
    <s v="Jun"/>
    <x v="2"/>
  </r>
  <r>
    <d v="2026-06-25T00:00:00"/>
    <s v="Olsam Evalube Pro"/>
    <n v="2"/>
    <n v="40000"/>
    <n v="80000"/>
    <m/>
    <s v="Jun"/>
    <x v="2"/>
  </r>
  <r>
    <d v="2026-06-25T00:00:00"/>
    <s v="Nipel Corong"/>
    <n v="10"/>
    <n v="3000"/>
    <n v="30000"/>
    <m/>
    <s v="Jun"/>
    <x v="2"/>
  </r>
  <r>
    <d v="2026-06-25T00:00:00"/>
    <s v="Baud Shock"/>
    <n v="1"/>
    <n v="12000"/>
    <n v="12000"/>
    <m/>
    <s v="Jun"/>
    <x v="2"/>
  </r>
  <r>
    <d v="2026-06-26T00:00:00"/>
    <s v="Olsam"/>
    <n v="1"/>
    <n v="25000"/>
    <n v="25000"/>
    <m/>
    <s v="Jun"/>
    <x v="3"/>
  </r>
  <r>
    <d v="2026-06-27T00:00:00"/>
    <s v="Dektel"/>
    <n v="1"/>
    <n v="50000"/>
    <n v="50000"/>
    <m/>
    <s v="Jun"/>
    <x v="4"/>
  </r>
  <r>
    <d v="2026-06-27T00:00:00"/>
    <s v="Olsam Shell"/>
    <n v="1"/>
    <n v="42000"/>
    <n v="42000"/>
    <m/>
    <s v="Jun"/>
    <x v="4"/>
  </r>
  <r>
    <d v="2026-06-29T00:00:00"/>
    <s v="Oli Mesin"/>
    <n v="1"/>
    <n v="25000"/>
    <n v="25000"/>
    <m/>
    <s v="Jun"/>
    <x v="0"/>
  </r>
  <r>
    <d v="2026-06-29T00:00:00"/>
    <s v="Baud Stang"/>
    <n v="1"/>
    <n v="15000"/>
    <n v="15000"/>
    <m/>
    <s v="Jun"/>
    <x v="0"/>
  </r>
  <r>
    <d v="2026-06-30T00:00:00"/>
    <s v="Kampas Kupling Ricambi"/>
    <n v="1"/>
    <n v="40000"/>
    <n v="40000"/>
    <m/>
    <s v="Jun"/>
    <x v="1"/>
  </r>
  <r>
    <d v="2026-06-30T00:00:00"/>
    <s v="Baud Shock depan"/>
    <n v="1"/>
    <n v="12000"/>
    <n v="12000"/>
    <m/>
    <s v="Jun"/>
    <x v="1"/>
  </r>
  <r>
    <d v="2026-06-30T00:00:00"/>
    <s v="Oli Mesin"/>
    <n v="1"/>
    <n v="27000"/>
    <n v="27000"/>
    <m/>
    <s v="Jun"/>
    <x v="1"/>
  </r>
  <r>
    <d v="2026-07-01T00:00:00"/>
    <s v="Busi NGK T5999"/>
    <n v="1"/>
    <n v="25000"/>
    <n v="25000"/>
    <m/>
    <s v="Jul"/>
    <x v="5"/>
  </r>
  <r>
    <d v="2026-07-02T00:00:00"/>
    <s v="Seal Roda 3047"/>
    <n v="1"/>
    <n v="17000"/>
    <n v="17000"/>
    <m/>
    <s v="Jul"/>
    <x v="2"/>
  </r>
  <r>
    <d v="2026-07-02T00:00:00"/>
    <s v="Kabel gas"/>
    <n v="2"/>
    <n v="10000"/>
    <n v="20000"/>
    <m/>
    <s v="Jul"/>
    <x v="2"/>
  </r>
  <r>
    <d v="2026-07-02T00:00:00"/>
    <s v="Saringan Karbu"/>
    <n v="1"/>
    <n v="53000"/>
    <n v="53000"/>
    <m/>
    <s v="Jul"/>
    <x v="2"/>
  </r>
  <r>
    <d v="2026-07-02T00:00:00"/>
    <s v="Padudan Busi"/>
    <n v="1"/>
    <n v="17000"/>
    <n v="17000"/>
    <m/>
    <s v="Jul"/>
    <x v="2"/>
  </r>
  <r>
    <d v="2026-07-02T00:00:00"/>
    <s v="Busi"/>
    <n v="1"/>
    <n v="25000"/>
    <n v="25000"/>
    <m/>
    <s v="Jul"/>
    <x v="2"/>
  </r>
  <r>
    <d v="2026-07-02T00:00:00"/>
    <s v="Kabel luar gigi"/>
    <n v="2"/>
    <n v="26000"/>
    <n v="52000"/>
    <m/>
    <s v="Jul"/>
    <x v="2"/>
  </r>
  <r>
    <d v="2026-07-02T00:00:00"/>
    <s v="Kabel luar Kupling"/>
    <n v="1"/>
    <n v="26000"/>
    <n v="26000"/>
    <m/>
    <s v="Jul"/>
    <x v="2"/>
  </r>
  <r>
    <d v="2026-07-02T00:00:00"/>
    <s v="Kabel luar gas"/>
    <n v="1"/>
    <n v="26000"/>
    <n v="26000"/>
    <m/>
    <s v="Jul"/>
    <x v="2"/>
  </r>
  <r>
    <d v="2026-07-02T00:00:00"/>
    <s v="Kabel luar rem"/>
    <n v="1"/>
    <n v="17000"/>
    <n v="17000"/>
    <m/>
    <s v="Jul"/>
    <x v="2"/>
  </r>
  <r>
    <d v="2026-07-02T00:00:00"/>
    <s v="Kabel gigi"/>
    <n v="2"/>
    <n v="12000"/>
    <n v="24000"/>
    <m/>
    <s v="Jul"/>
    <x v="2"/>
  </r>
  <r>
    <d v="2026-07-02T00:00:00"/>
    <s v="Kabel Kupling"/>
    <n v="1"/>
    <n v="12000"/>
    <n v="12000"/>
    <m/>
    <s v="Jul"/>
    <x v="2"/>
  </r>
  <r>
    <d v="2026-07-02T00:00:00"/>
    <s v="Kabel gas"/>
    <n v="1"/>
    <n v="12000"/>
    <n v="12000"/>
    <m/>
    <s v="Jul"/>
    <x v="2"/>
  </r>
  <r>
    <d v="2026-07-02T00:00:00"/>
    <s v="Kabel rem"/>
    <n v="1"/>
    <n v="12000"/>
    <n v="12000"/>
    <m/>
    <s v="Jul"/>
    <x v="2"/>
  </r>
  <r>
    <d v="2026-07-02T00:00:00"/>
    <s v="Mur 24"/>
    <n v="1"/>
    <n v="17000"/>
    <n v="17000"/>
    <m/>
    <s v="Jul"/>
    <x v="2"/>
  </r>
  <r>
    <d v="2026-07-02T00:00:00"/>
    <s v="Mahkota"/>
    <n v="1"/>
    <n v="27000"/>
    <n v="27000"/>
    <m/>
    <s v="Jul"/>
    <x v="2"/>
  </r>
  <r>
    <d v="2026-07-02T00:00:00"/>
    <s v="Tutup tromol"/>
    <n v="2"/>
    <n v="10000"/>
    <n v="20000"/>
    <m/>
    <s v="Jul"/>
    <x v="2"/>
  </r>
  <r>
    <d v="2026-07-02T00:00:00"/>
    <s v="Mika Speedometer"/>
    <n v="1"/>
    <n v="37000"/>
    <n v="37000"/>
    <m/>
    <s v="Jul"/>
    <x v="2"/>
  </r>
  <r>
    <d v="2026-07-02T00:00:00"/>
    <s v="Karet tangki"/>
    <n v="1"/>
    <n v="32000"/>
    <n v="32000"/>
    <m/>
    <s v="Jul"/>
    <x v="2"/>
  </r>
  <r>
    <d v="2026-07-02T00:00:00"/>
    <s v="Karet Handle"/>
    <n v="1"/>
    <n v="50000"/>
    <n v="50000"/>
    <m/>
    <s v="Jul"/>
    <x v="2"/>
  </r>
  <r>
    <d v="2026-07-02T00:00:00"/>
    <s v="Kunci ring Omega"/>
    <n v="2"/>
    <n v="3000"/>
    <n v="6000"/>
    <m/>
    <s v="Jul"/>
    <x v="2"/>
  </r>
  <r>
    <d v="2026-07-03T00:00:00"/>
    <s v="Dektel"/>
    <n v="1"/>
    <n v="52000"/>
    <n v="52000"/>
    <m/>
    <s v="Jul"/>
    <x v="3"/>
  </r>
  <r>
    <d v="2026-07-03T00:00:00"/>
    <s v="paking"/>
    <n v="1"/>
    <n v="12000"/>
    <n v="12000"/>
    <m/>
    <s v="Jul"/>
    <x v="3"/>
  </r>
  <r>
    <d v="2026-07-03T00:00:00"/>
    <s v="Golongan 1 set"/>
    <n v="1"/>
    <n v="35000"/>
    <n v="35000"/>
    <m/>
    <s v="Jul"/>
    <x v="3"/>
  </r>
  <r>
    <d v="2026-07-03T00:00:00"/>
    <s v="Kampas Kupling"/>
    <n v="1"/>
    <n v="42000"/>
    <n v="42000"/>
    <s v="Tf"/>
    <s v="Jul"/>
    <x v="3"/>
  </r>
  <r>
    <d v="2026-07-03T00:00:00"/>
    <s v="Oli Mesin"/>
    <n v="1"/>
    <n v="25000"/>
    <n v="25000"/>
    <m/>
    <s v="Jul"/>
    <x v="3"/>
  </r>
  <r>
    <d v="2026-07-04T00:00:00"/>
    <s v="Bak persneling"/>
    <n v="1"/>
    <n v="115000"/>
    <n v="115000"/>
    <m/>
    <s v="Jul"/>
    <x v="4"/>
  </r>
  <r>
    <d v="2026-07-04T00:00:00"/>
    <s v="Seal roda"/>
    <n v="1"/>
    <n v="15000"/>
    <n v="15000"/>
    <m/>
    <s v="Jul"/>
    <x v="4"/>
  </r>
  <r>
    <d v="2026-07-04T00:00:00"/>
    <s v="Kabel luar Vemsa"/>
    <n v="1"/>
    <n v="26000"/>
    <n v="26000"/>
    <m/>
    <s v="Jul"/>
    <x v="4"/>
  </r>
  <r>
    <d v="2026-07-04T00:00:00"/>
    <s v="Kabel dalam"/>
    <n v="1"/>
    <n v="12000"/>
    <n v="12000"/>
    <m/>
    <s v="Jul"/>
    <x v="4"/>
  </r>
  <r>
    <d v="2026-07-04T00:00:00"/>
    <s v="Saklar"/>
    <n v="1"/>
    <n v="53000"/>
    <n v="53000"/>
    <m/>
    <s v="Jul"/>
    <x v="4"/>
  </r>
  <r>
    <d v="2026-07-04T00:00:00"/>
    <s v="Asper Vesgio"/>
    <n v="1"/>
    <n v="75000"/>
    <n v="75000"/>
    <m/>
    <s v="Jul"/>
    <x v="4"/>
  </r>
  <r>
    <d v="2026-07-04T00:00:00"/>
    <s v="Kampas rem"/>
    <n v="1"/>
    <n v="45000"/>
    <n v="45000"/>
    <s v="Tf"/>
    <s v="Jul"/>
    <x v="4"/>
  </r>
  <r>
    <d v="2026-07-04T00:00:00"/>
    <s v="Tuas rem"/>
    <n v="1"/>
    <n v="20000"/>
    <n v="20000"/>
    <m/>
    <s v="Jul"/>
    <x v="4"/>
  </r>
  <r>
    <d v="2026-07-04T00:00:00"/>
    <s v="Kleman rem"/>
    <n v="1"/>
    <n v="14000"/>
    <n v="14000"/>
    <m/>
    <s v="Jul"/>
    <x v="4"/>
  </r>
  <r>
    <d v="2026-07-04T00:00:00"/>
    <s v="Nipel Kupling"/>
    <n v="1"/>
    <n v="10000"/>
    <n v="10000"/>
    <m/>
    <s v="Jul"/>
    <x v="4"/>
  </r>
  <r>
    <d v="2026-07-04T00:00:00"/>
    <s v="Nipel drat"/>
    <n v="1"/>
    <n v="20000"/>
    <n v="20000"/>
    <m/>
    <s v="Jul"/>
    <x v="4"/>
  </r>
  <r>
    <d v="2026-07-04T00:00:00"/>
    <s v="Baud Shock atas"/>
    <n v="1"/>
    <n v="12000"/>
    <n v="12000"/>
    <m/>
    <s v="Jul"/>
    <x v="4"/>
  </r>
  <r>
    <d v="2026-07-04T00:00:00"/>
    <s v="Baud Shock bawah"/>
    <n v="1"/>
    <n v="12000"/>
    <n v="12000"/>
    <m/>
    <s v="Jul"/>
    <x v="4"/>
  </r>
  <r>
    <d v="2026-07-04T00:00:00"/>
    <s v="Baud Handle"/>
    <n v="1"/>
    <n v="15000"/>
    <n v="15000"/>
    <m/>
    <s v="Jul"/>
    <x v="4"/>
  </r>
  <r>
    <d v="2026-07-04T00:00:00"/>
    <s v="As ayun Vifo"/>
    <n v="1"/>
    <n v="60000"/>
    <n v="60000"/>
    <m/>
    <s v="Jul"/>
    <x v="4"/>
  </r>
  <r>
    <d v="2026-07-04T00:00:00"/>
    <s v="Laher 6201"/>
    <n v="1"/>
    <n v="32000"/>
    <n v="32000"/>
    <m/>
    <s v="Jul"/>
    <x v="4"/>
  </r>
  <r>
    <d v="2026-07-04T00:00:00"/>
    <s v="Laher 6203"/>
    <n v="1"/>
    <n v="32000"/>
    <n v="32000"/>
    <m/>
    <s v="Jul"/>
    <x v="4"/>
  </r>
  <r>
    <d v="2026-07-04T00:00:00"/>
    <s v="Mur roda 22"/>
    <n v="1"/>
    <n v="12000"/>
    <n v="12000"/>
    <m/>
    <s v="Jul"/>
    <x v="4"/>
  </r>
  <r>
    <d v="2026-07-06T00:00:00"/>
    <s v="Spuyer"/>
    <n v="1"/>
    <n v="40000"/>
    <n v="40000"/>
    <m/>
    <s v="Jul"/>
    <x v="0"/>
  </r>
  <r>
    <d v="2026-07-06T00:00:00"/>
    <s v="Kabel luar rem Vemsa "/>
    <n v="1"/>
    <n v="17000"/>
    <n v="17000"/>
    <m/>
    <s v="Jul"/>
    <x v="0"/>
  </r>
  <r>
    <d v="2026-07-06T00:00:00"/>
    <s v="Kabel rem"/>
    <n v="1"/>
    <n v="12000"/>
    <n v="12000"/>
    <m/>
    <s v="Jul"/>
    <x v="0"/>
  </r>
  <r>
    <d v="2026-07-06T00:00:00"/>
    <s v="Kabel luar Kupling"/>
    <n v="1"/>
    <n v="26000"/>
    <n v="26000"/>
    <m/>
    <s v="Jul"/>
    <x v="0"/>
  </r>
  <r>
    <d v="2026-07-06T00:00:00"/>
    <s v="Golongan 1 set"/>
    <n v="1"/>
    <n v="35000"/>
    <n v="35000"/>
    <m/>
    <s v="Jul"/>
    <x v="0"/>
  </r>
  <r>
    <d v="2026-07-06T00:00:00"/>
    <s v="Mur Roda 22"/>
    <n v="1"/>
    <n v="22000"/>
    <n v="22000"/>
    <m/>
    <s v="Jul"/>
    <x v="0"/>
  </r>
  <r>
    <d v="2026-07-06T00:00:00"/>
    <s v="Laher Komstir"/>
    <n v="1"/>
    <n v="17000"/>
    <n v="17000"/>
    <m/>
    <s v="Jul"/>
    <x v="0"/>
  </r>
  <r>
    <d v="2026-07-06T00:00:00"/>
    <s v="Ring Komstir"/>
    <n v="1"/>
    <n v="12000"/>
    <n v="12000"/>
    <m/>
    <s v="Jul"/>
    <x v="0"/>
  </r>
  <r>
    <d v="2026-07-06T00:00:00"/>
    <s v="Oli Mesin"/>
    <n v="1"/>
    <n v="25000"/>
    <n v="25000"/>
    <m/>
    <s v="Jul"/>
    <x v="0"/>
  </r>
  <r>
    <d v="2026-07-07T00:00:00"/>
    <s v="Olsam Shell"/>
    <n v="1"/>
    <n v="42000"/>
    <n v="42000"/>
    <m/>
    <s v="Jul"/>
    <x v="1"/>
  </r>
  <r>
    <d v="2026-07-07T00:00:00"/>
    <s v="Karet tangki"/>
    <n v="1"/>
    <n v="17000"/>
    <n v="17000"/>
    <m/>
    <s v="Jul"/>
    <x v="1"/>
  </r>
  <r>
    <d v="2026-07-07T00:00:00"/>
    <s v="Kampas rem A2 123"/>
    <n v="1"/>
    <n v="45000"/>
    <n v="45000"/>
    <m/>
    <s v="Jul"/>
    <x v="1"/>
  </r>
  <r>
    <d v="2026-07-08T00:00:00"/>
    <s v="Karet tepong"/>
    <n v="1"/>
    <n v="65000"/>
    <n v="65000"/>
    <m/>
    <s v="Jul"/>
    <x v="5"/>
  </r>
  <r>
    <d v="2026-07-08T00:00:00"/>
    <s v="Ring Komstir"/>
    <n v="1"/>
    <n v="5000"/>
    <n v="5000"/>
    <m/>
    <s v="Jul"/>
    <x v="5"/>
  </r>
  <r>
    <d v="2026-07-08T00:00:00"/>
    <s v="Kunci laci"/>
    <n v="1"/>
    <n v="35000"/>
    <n v="35000"/>
    <m/>
    <s v="Jul"/>
    <x v="5"/>
  </r>
  <r>
    <d v="2026-07-08T00:00:00"/>
    <s v="Karet tangki"/>
    <n v="2"/>
    <n v="10000"/>
    <n v="20000"/>
    <m/>
    <s v="Jul"/>
    <x v="5"/>
  </r>
  <r>
    <d v="2026-07-08T00:00:00"/>
    <s v="Gantungan Kunci"/>
    <n v="1"/>
    <n v="37000"/>
    <n v="37000"/>
    <m/>
    <s v="Jul"/>
    <x v="5"/>
  </r>
  <r>
    <d v="2026-07-09T00:00:00"/>
    <s v="Olsam Shell"/>
    <n v="1"/>
    <n v="40000"/>
    <n v="40000"/>
    <m/>
    <s v="Jul"/>
    <x v="2"/>
  </r>
  <r>
    <d v="2026-07-09T00:00:00"/>
    <s v="Ban Dalam ring 8"/>
    <n v="1"/>
    <n v="44000"/>
    <n v="44000"/>
    <m/>
    <s v="Jul"/>
    <x v="2"/>
  </r>
  <r>
    <d v="2026-07-10T00:00:00"/>
    <s v="Olsam Castrol"/>
    <n v="1"/>
    <n v="50000"/>
    <n v="50000"/>
    <m/>
    <s v="Jul"/>
    <x v="3"/>
  </r>
  <r>
    <d v="2026-07-10T00:00:00"/>
    <s v="Laher Komsfir"/>
    <n v="1"/>
    <n v="15000"/>
    <n v="15000"/>
    <m/>
    <s v="Jul"/>
    <x v="3"/>
  </r>
  <r>
    <d v="2026-07-10T00:00:00"/>
    <s v="Oli Mesin"/>
    <n v="1"/>
    <n v="25000"/>
    <n v="25000"/>
    <m/>
    <s v="Jul"/>
    <x v="3"/>
  </r>
  <r>
    <d v="2026-07-10T00:00:00"/>
    <s v="Kampas Kupling Vifo"/>
    <n v="1"/>
    <n v="85000"/>
    <n v="85000"/>
    <m/>
    <s v="Jul"/>
    <x v="3"/>
  </r>
  <r>
    <d v="2026-07-11T00:00:00"/>
    <s v="Spuyer"/>
    <n v="1"/>
    <n v="45000"/>
    <n v="45000"/>
    <m/>
    <s v="Jul"/>
    <x v="4"/>
  </r>
  <r>
    <d v="2026-07-11T00:00:00"/>
    <s v="Spul jalan + Danstar"/>
    <n v="1"/>
    <n v="130000"/>
    <n v="130000"/>
    <m/>
    <s v="Jul"/>
    <x v="4"/>
  </r>
  <r>
    <d v="2026-07-11T00:00:00"/>
    <s v="Gigi silang Vifo"/>
    <n v="1"/>
    <n v="57000"/>
    <n v="57000"/>
    <m/>
    <s v="Jul"/>
    <x v="4"/>
  </r>
  <r>
    <d v="2026-07-11T00:00:00"/>
    <s v="Karet saluran Angin"/>
    <n v="1"/>
    <n v="30000"/>
    <n v="30000"/>
    <m/>
    <s v="Jul"/>
    <x v="4"/>
  </r>
  <r>
    <d v="2026-07-11T00:00:00"/>
    <s v="Oli Mesin"/>
    <n v="1"/>
    <n v="25000"/>
    <n v="25000"/>
    <m/>
    <s v="Jul"/>
    <x v="4"/>
  </r>
  <r>
    <d v="2026-07-13T00:00:00"/>
    <s v="Kunci tutup tangki"/>
    <n v="1"/>
    <n v="15000"/>
    <n v="15000"/>
    <m/>
    <s v="Jul"/>
    <x v="0"/>
  </r>
  <r>
    <d v="2026-07-13T00:00:00"/>
    <s v="kupling Karet"/>
    <n v="1"/>
    <n v="12000"/>
    <n v="12000"/>
    <m/>
    <s v="Jul"/>
    <x v="0"/>
  </r>
  <r>
    <d v="2026-07-13T00:00:00"/>
    <s v="tuas"/>
    <n v="1"/>
    <n v="10000"/>
    <n v="10000"/>
    <m/>
    <s v="Jul"/>
    <x v="0"/>
  </r>
  <r>
    <d v="2026-07-13T00:00:00"/>
    <s v="paking set"/>
    <n v="1"/>
    <n v="10000"/>
    <n v="10000"/>
    <m/>
    <s v="Jul"/>
    <x v="0"/>
  </r>
  <r>
    <d v="2026-07-13T00:00:00"/>
    <s v="Angka 9"/>
    <n v="1"/>
    <n v="15000"/>
    <n v="15000"/>
    <m/>
    <s v="Jul"/>
    <x v="0"/>
  </r>
  <r>
    <d v="2026-07-13T00:00:00"/>
    <s v="Oli Mesin"/>
    <n v="2"/>
    <n v="25000"/>
    <n v="50000"/>
    <s v="Tf"/>
    <s v="Jul"/>
    <x v="0"/>
  </r>
  <r>
    <d v="2026-07-13T00:00:00"/>
    <s v="Busi"/>
    <n v="1"/>
    <n v="25000"/>
    <n v="25000"/>
    <m/>
    <s v="Jul"/>
    <x v="0"/>
  </r>
  <r>
    <d v="2026-07-13T00:00:00"/>
    <s v="Gigi Kris Vifo"/>
    <n v="1"/>
    <n v="57000"/>
    <n v="57000"/>
    <m/>
    <s v="Jul"/>
    <x v="0"/>
  </r>
  <r>
    <d v="2026-07-13T00:00:00"/>
    <s v="Kran Bensin idp"/>
    <n v="1"/>
    <n v="75000"/>
    <n v="75000"/>
    <s v="Tf"/>
    <s v="Jul"/>
    <x v="0"/>
  </r>
  <r>
    <d v="2026-07-14T00:00:00"/>
    <s v="Busi"/>
    <n v="1"/>
    <n v="25000"/>
    <n v="25000"/>
    <s v="Tf"/>
    <s v="Jul"/>
    <x v="1"/>
  </r>
  <r>
    <d v="2026-07-14T00:00:00"/>
    <s v="Kunci busi"/>
    <n v="1"/>
    <n v="15000"/>
    <n v="15000"/>
    <s v="Tf"/>
    <s v="Jul"/>
    <x v="1"/>
  </r>
  <r>
    <d v="2026-07-14T00:00:00"/>
    <s v="Kabel persneling"/>
    <n v="2"/>
    <n v="10000"/>
    <n v="20000"/>
    <m/>
    <s v="Jul"/>
    <x v="1"/>
  </r>
  <r>
    <d v="2026-07-14T00:00:00"/>
    <s v="Speedometer Super"/>
    <n v="1"/>
    <n v="125000"/>
    <n v="125000"/>
    <m/>
    <s v="Jul"/>
    <x v="1"/>
  </r>
  <r>
    <d v="2026-07-14T00:00:00"/>
    <s v="Baud tutup Karbu"/>
    <n v="1"/>
    <n v="9000"/>
    <n v="9000"/>
    <m/>
    <s v="Jul"/>
    <x v="1"/>
  </r>
  <r>
    <d v="2026-07-15T00:00:00"/>
    <s v="Ban Dalam Ring 10"/>
    <n v="1"/>
    <n v="52000"/>
    <n v="52000"/>
    <s v="Tf"/>
    <s v="Jul"/>
    <x v="5"/>
  </r>
  <r>
    <d v="2026-07-16T00:00:00"/>
    <s v="Busi"/>
    <n v="1"/>
    <n v="25000"/>
    <n v="25000"/>
    <m/>
    <s v="Jul"/>
    <x v="2"/>
  </r>
  <r>
    <d v="2026-07-17T00:00:00"/>
    <s v="Dektel"/>
    <n v="1"/>
    <n v="55000"/>
    <n v="55000"/>
    <m/>
    <s v="Jul"/>
    <x v="3"/>
  </r>
  <r>
    <d v="2026-07-17T00:00:00"/>
    <s v="Spuyer"/>
    <n v="1"/>
    <n v="45000"/>
    <n v="45000"/>
    <m/>
    <s v="Jul"/>
    <x v="3"/>
  </r>
  <r>
    <d v="2026-07-17T00:00:00"/>
    <s v="As ayun Vifo"/>
    <n v="1"/>
    <n v="60000"/>
    <n v="60000"/>
    <s v="Tf"/>
    <s v="Jul"/>
    <x v="3"/>
  </r>
  <r>
    <d v="2026-07-17T00:00:00"/>
    <s v="Karet Shock"/>
    <n v="1"/>
    <n v="12000"/>
    <n v="12000"/>
    <m/>
    <s v="Jul"/>
    <x v="3"/>
  </r>
  <r>
    <d v="2026-07-17T00:00:00"/>
    <s v="Nepel drat"/>
    <n v="2"/>
    <n v="10000"/>
    <n v="20000"/>
    <m/>
    <s v="Jul"/>
    <x v="3"/>
  </r>
  <r>
    <d v="2026-07-18T00:00:00"/>
    <s v="Saklar lengkap Danmotor"/>
    <n v="1"/>
    <n v="77500"/>
    <n v="77500"/>
    <m/>
    <s v="Jul"/>
    <x v="4"/>
  </r>
  <r>
    <d v="2026-07-18T00:00:00"/>
    <s v="Oli Mesin"/>
    <n v="1"/>
    <n v="25000"/>
    <n v="25000"/>
    <m/>
    <s v="Jul"/>
    <x v="4"/>
  </r>
  <r>
    <d v="2026-07-18T00:00:00"/>
    <s v="Ban Dalam Ring 10"/>
    <n v="1"/>
    <n v="52000"/>
    <n v="52000"/>
    <m/>
    <s v="Jul"/>
    <x v="4"/>
  </r>
  <r>
    <d v="2026-07-18T00:00:00"/>
    <s v="Kampas rem A2 133"/>
    <n v="1"/>
    <n v="45000"/>
    <n v="45000"/>
    <m/>
    <s v="Jul"/>
    <x v="4"/>
  </r>
  <r>
    <d v="2026-07-18T00:00:00"/>
    <s v="Kabel luar Vemsa"/>
    <n v="1"/>
    <n v="26000"/>
    <n v="26000"/>
    <m/>
    <s v="Jul"/>
    <x v="4"/>
  </r>
  <r>
    <d v="2026-07-18T00:00:00"/>
    <s v="Kabel dalam Kupling"/>
    <n v="1"/>
    <n v="12000"/>
    <n v="12000"/>
    <m/>
    <s v="Jul"/>
    <x v="4"/>
  </r>
  <r>
    <d v="2026-07-18T00:00:00"/>
    <s v="Nipel"/>
    <n v="1"/>
    <n v="3000"/>
    <n v="3000"/>
    <m/>
    <s v="Jul"/>
    <x v="4"/>
  </r>
  <r>
    <d v="2026-07-18T00:00:00"/>
    <s v="Busi"/>
    <n v="1"/>
    <n v="25000"/>
    <n v="25000"/>
    <m/>
    <s v="Jul"/>
    <x v="4"/>
  </r>
  <r>
    <d v="2026-07-18T00:00:00"/>
    <s v="Oli Mesin"/>
    <n v="1"/>
    <n v="25000"/>
    <n v="25000"/>
    <m/>
    <s v="Jul"/>
    <x v="4"/>
  </r>
  <r>
    <d v="2026-07-18T00:00:00"/>
    <s v="Olsam Egip"/>
    <n v="1"/>
    <n v="57000"/>
    <n v="57000"/>
    <m/>
    <s v="Jul"/>
    <x v="4"/>
  </r>
  <r>
    <d v="2026-07-20T00:00:00"/>
    <s v="Kabel luar Vemsa"/>
    <n v="1"/>
    <n v="26000"/>
    <n v="26000"/>
    <m/>
    <s v="Jul"/>
    <x v="0"/>
  </r>
  <r>
    <d v="2026-07-20T00:00:00"/>
    <s v="Kabel Kupling"/>
    <n v="3"/>
    <n v="10000"/>
    <n v="30000"/>
    <m/>
    <s v="Jul"/>
    <x v="0"/>
  </r>
  <r>
    <d v="2026-07-20T00:00:00"/>
    <s v="Kabel gas"/>
    <n v="1"/>
    <n v="10000"/>
    <n v="10000"/>
    <m/>
    <s v="Jul"/>
    <x v="0"/>
  </r>
  <r>
    <d v="2026-07-20T00:00:00"/>
    <s v="Kabel persneling"/>
    <n v="1"/>
    <n v="10000"/>
    <n v="10000"/>
    <m/>
    <s v="Jul"/>
    <x v="0"/>
  </r>
  <r>
    <d v="2026-07-20T00:00:00"/>
    <s v="paking"/>
    <n v="1"/>
    <n v="10000"/>
    <n v="10000"/>
    <m/>
    <s v="Jul"/>
    <x v="0"/>
  </r>
  <r>
    <d v="2026-07-20T00:00:00"/>
    <s v="Baud Karbu"/>
    <n v="1"/>
    <n v="10000"/>
    <n v="10000"/>
    <m/>
    <s v="Jul"/>
    <x v="0"/>
  </r>
  <r>
    <d v="2026-07-20T00:00:00"/>
    <s v="Baud rengkes"/>
    <n v="3"/>
    <n v="8000"/>
    <n v="24000"/>
    <m/>
    <s v="Jul"/>
    <x v="0"/>
  </r>
  <r>
    <d v="2026-07-20T00:00:00"/>
    <s v="Ring rengkes"/>
    <n v="10"/>
    <n v="1000"/>
    <n v="10000"/>
    <m/>
    <s v="Jul"/>
    <x v="0"/>
  </r>
  <r>
    <d v="2026-07-20T00:00:00"/>
    <s v="Kabel persneling"/>
    <n v="2"/>
    <n v="10000"/>
    <n v="20000"/>
    <m/>
    <s v="Jul"/>
    <x v="0"/>
  </r>
  <r>
    <d v="2026-07-20T00:00:00"/>
    <s v="Kabel rem"/>
    <n v="1"/>
    <n v="10000"/>
    <n v="10000"/>
    <m/>
    <s v="Jul"/>
    <x v="0"/>
  </r>
  <r>
    <d v="2026-07-20T00:00:00"/>
    <s v="Sepatu Standar"/>
    <n v="1"/>
    <n v="35000"/>
    <n v="35000"/>
    <m/>
    <s v="Jul"/>
    <x v="0"/>
  </r>
  <r>
    <d v="2026-07-20T00:00:00"/>
    <s v="Baud Handle"/>
    <n v="1"/>
    <n v="17000"/>
    <n v="17000"/>
    <m/>
    <s v="Jul"/>
    <x v="0"/>
  </r>
  <r>
    <d v="2026-07-20T00:00:00"/>
    <s v="Karet Shock belakang"/>
    <n v="1"/>
    <n v="22000"/>
    <n v="22000"/>
    <m/>
    <s v="Jul"/>
    <x v="0"/>
  </r>
  <r>
    <d v="2026-07-20T00:00:00"/>
    <s v="Karet Shock depan atas"/>
    <n v="1"/>
    <n v="17000"/>
    <n v="17000"/>
    <m/>
    <s v="Jul"/>
    <x v="0"/>
  </r>
  <r>
    <d v="2026-07-20T00:00:00"/>
    <s v="Karet Shock depan bawah"/>
    <n v="1"/>
    <n v="17000"/>
    <n v="17000"/>
    <m/>
    <s v="Jul"/>
    <x v="0"/>
  </r>
  <r>
    <d v="2026-07-20T00:00:00"/>
    <s v="Terminal Kabel"/>
    <n v="1"/>
    <n v="15000"/>
    <n v="15000"/>
    <m/>
    <s v="Jul"/>
    <x v="0"/>
  </r>
  <r>
    <d v="2026-07-20T00:00:00"/>
    <s v="Baud nipel"/>
    <n v="2"/>
    <n v="7000"/>
    <n v="14000"/>
    <m/>
    <s v="Jul"/>
    <x v="0"/>
  </r>
  <r>
    <d v="2026-07-21T00:00:00"/>
    <s v="Oli Mesin"/>
    <n v="1"/>
    <n v="25000"/>
    <n v="25000"/>
    <m/>
    <s v="Jul"/>
    <x v="1"/>
  </r>
  <r>
    <d v="2026-07-23T00:00:00"/>
    <s v="Kabel persneling"/>
    <n v="2"/>
    <n v="10000"/>
    <n v="20000"/>
    <m/>
    <s v="Jul"/>
    <x v="2"/>
  </r>
  <r>
    <d v="2026-07-23T00:00:00"/>
    <s v="Kabel Kupling"/>
    <n v="2"/>
    <n v="10000"/>
    <n v="20000"/>
    <m/>
    <s v="Jul"/>
    <x v="2"/>
  </r>
  <r>
    <d v="2026-07-23T00:00:00"/>
    <s v="Nipel"/>
    <n v="2"/>
    <n v="7000"/>
    <n v="14000"/>
    <m/>
    <s v="Jul"/>
    <x v="2"/>
  </r>
  <r>
    <d v="2026-07-23T00:00:00"/>
    <s v="Handle Dan Motor"/>
    <n v="2"/>
    <n v="39000"/>
    <n v="78000"/>
    <s v="Tf"/>
    <s v="Jul"/>
    <x v="2"/>
  </r>
  <r>
    <d v="2026-07-23T00:00:00"/>
    <s v="Baud Handle"/>
    <n v="2"/>
    <n v="8500"/>
    <n v="17000"/>
    <m/>
    <s v="Jul"/>
    <x v="2"/>
  </r>
  <r>
    <d v="2026-07-23T00:00:00"/>
    <s v="Kampas rem"/>
    <n v="1"/>
    <n v="45000"/>
    <n v="45000"/>
    <m/>
    <s v="Jul"/>
    <x v="2"/>
  </r>
  <r>
    <d v="2026-07-23T00:00:00"/>
    <s v="Kabel luar rem"/>
    <n v="1"/>
    <n v="26000"/>
    <n v="26000"/>
    <m/>
    <s v="Jul"/>
    <x v="2"/>
  </r>
  <r>
    <d v="2026-07-23T00:00:00"/>
    <s v="Kabel dalam"/>
    <n v="1"/>
    <n v="12000"/>
    <n v="12000"/>
    <m/>
    <s v="Jul"/>
    <x v="2"/>
  </r>
  <r>
    <d v="2026-07-23T00:00:00"/>
    <s v="Baud Handle"/>
    <n v="1"/>
    <n v="15000"/>
    <n v="15000"/>
    <m/>
    <s v="Jul"/>
    <x v="2"/>
  </r>
  <r>
    <d v="2026-07-23T00:00:00"/>
    <s v="Per rem"/>
    <n v="1"/>
    <n v="17000"/>
    <n v="17000"/>
    <m/>
    <s v="Jul"/>
    <x v="2"/>
  </r>
  <r>
    <d v="2026-07-23T00:00:00"/>
    <s v="Nipel"/>
    <n v="1"/>
    <n v="7000"/>
    <n v="7000"/>
    <m/>
    <s v="Jul"/>
    <x v="2"/>
  </r>
  <r>
    <d v="2026-07-23T00:00:00"/>
    <s v="Plat dudukan Kampas"/>
    <n v="1"/>
    <n v="25000"/>
    <n v="25000"/>
    <m/>
    <s v="Jul"/>
    <x v="2"/>
  </r>
  <r>
    <d v="2026-07-23T00:00:00"/>
    <s v="Kabel luar"/>
    <n v="1"/>
    <n v="10000"/>
    <n v="10000"/>
    <m/>
    <s v="Jul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D6436-8941-4E21-83D3-6880EB24DA7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8">
    <pivotField numFmtId="14" showAll="0"/>
    <pivotField showAll="0"/>
    <pivotField numFmtId="3" showAll="0"/>
    <pivotField numFmtId="164" showAll="0"/>
    <pivotField dataField="1" numFmtId="164" showAll="0"/>
    <pivotField showAll="0"/>
    <pivotField showAll="0"/>
    <pivotField axis="axisRow" showAll="0">
      <items count="8">
        <item x="6"/>
        <item x="0"/>
        <item x="1"/>
        <item x="5"/>
        <item x="2"/>
        <item x="3"/>
        <item x="4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harga (Rp)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6812D-A9DF-4991-9213-ECE6508542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k">
  <location ref="A3:D225" firstHeaderRow="0" firstDataRow="1" firstDataCol="1"/>
  <pivotFields count="8">
    <pivotField numFmtId="14" showAll="0"/>
    <pivotField axis="axisRow" showAll="0" sortType="descending">
      <items count="222">
        <item x="85"/>
        <item x="128"/>
        <item x="34"/>
        <item x="186"/>
        <item x="144"/>
        <item x="181"/>
        <item x="61"/>
        <item x="24"/>
        <item x="204"/>
        <item x="77"/>
        <item x="121"/>
        <item x="36"/>
        <item x="35"/>
        <item x="117"/>
        <item x="216"/>
        <item x="211"/>
        <item x="162"/>
        <item x="184"/>
        <item x="185"/>
        <item x="87"/>
        <item x="86"/>
        <item x="165"/>
        <item x="149"/>
        <item x="32"/>
        <item x="119"/>
        <item x="47"/>
        <item x="132"/>
        <item x="3"/>
        <item x="10"/>
        <item x="53"/>
        <item x="114"/>
        <item x="113"/>
        <item x="158"/>
        <item x="48"/>
        <item x="133"/>
        <item x="164"/>
        <item x="67"/>
        <item x="193"/>
        <item x="58"/>
        <item x="38"/>
        <item x="94"/>
        <item x="201"/>
        <item x="159"/>
        <item x="102"/>
        <item x="197"/>
        <item x="178"/>
        <item x="42"/>
        <item x="57"/>
        <item x="155"/>
        <item x="63"/>
        <item x="9"/>
        <item x="217"/>
        <item x="21"/>
        <item x="179"/>
        <item x="209"/>
        <item x="81"/>
        <item x="8"/>
        <item x="172"/>
        <item x="7"/>
        <item x="220"/>
        <item x="170"/>
        <item x="168"/>
        <item x="169"/>
        <item x="171"/>
        <item x="45"/>
        <item x="189"/>
        <item x="6"/>
        <item x="0"/>
        <item x="44"/>
        <item x="154"/>
        <item x="138"/>
        <item x="99"/>
        <item x="16"/>
        <item x="37"/>
        <item x="75"/>
        <item x="191"/>
        <item x="208"/>
        <item x="31"/>
        <item x="176"/>
        <item x="27"/>
        <item x="198"/>
        <item x="145"/>
        <item x="205"/>
        <item x="123"/>
        <item x="122"/>
        <item x="213"/>
        <item x="214"/>
        <item x="116"/>
        <item x="115"/>
        <item x="140"/>
        <item x="30"/>
        <item x="68"/>
        <item x="139"/>
        <item x="62"/>
        <item x="153"/>
        <item x="112"/>
        <item x="146"/>
        <item x="202"/>
        <item x="141"/>
        <item x="49"/>
        <item x="192"/>
        <item x="177"/>
        <item x="111"/>
        <item x="22"/>
        <item x="199"/>
        <item x="187"/>
        <item x="188"/>
        <item x="92"/>
        <item x="93"/>
        <item x="137"/>
        <item x="73"/>
        <item x="195"/>
        <item x="25"/>
        <item x="95"/>
        <item x="80"/>
        <item x="98"/>
        <item x="97"/>
        <item x="71"/>
        <item x="142"/>
        <item x="143"/>
        <item x="129"/>
        <item x="41"/>
        <item x="69"/>
        <item x="174"/>
        <item x="15"/>
        <item x="125"/>
        <item x="175"/>
        <item x="152"/>
        <item x="173"/>
        <item x="17"/>
        <item x="46"/>
        <item x="26"/>
        <item x="206"/>
        <item x="54"/>
        <item x="148"/>
        <item x="161"/>
        <item x="183"/>
        <item x="124"/>
        <item x="78"/>
        <item x="84"/>
        <item x="2"/>
        <item x="39"/>
        <item x="163"/>
        <item x="194"/>
        <item x="150"/>
        <item x="210"/>
        <item x="100"/>
        <item x="104"/>
        <item x="160"/>
        <item x="11"/>
        <item x="56"/>
        <item x="126"/>
        <item x="108"/>
        <item x="103"/>
        <item x="96"/>
        <item x="127"/>
        <item x="4"/>
        <item x="134"/>
        <item x="1"/>
        <item x="23"/>
        <item x="218"/>
        <item x="76"/>
        <item x="13"/>
        <item x="88"/>
        <item x="219"/>
        <item x="72"/>
        <item x="120"/>
        <item x="90"/>
        <item x="51"/>
        <item x="190"/>
        <item x="20"/>
        <item x="74"/>
        <item x="18"/>
        <item x="151"/>
        <item x="212"/>
        <item x="180"/>
        <item x="29"/>
        <item x="207"/>
        <item x="82"/>
        <item x="147"/>
        <item x="167"/>
        <item x="12"/>
        <item x="136"/>
        <item x="14"/>
        <item x="130"/>
        <item x="166"/>
        <item x="109"/>
        <item x="83"/>
        <item x="28"/>
        <item x="105"/>
        <item x="55"/>
        <item x="156"/>
        <item x="79"/>
        <item x="203"/>
        <item x="19"/>
        <item x="157"/>
        <item x="196"/>
        <item x="40"/>
        <item x="107"/>
        <item x="5"/>
        <item x="52"/>
        <item x="60"/>
        <item x="110"/>
        <item x="106"/>
        <item x="50"/>
        <item x="66"/>
        <item x="33"/>
        <item x="43"/>
        <item x="135"/>
        <item x="59"/>
        <item x="118"/>
        <item x="215"/>
        <item x="200"/>
        <item x="182"/>
        <item x="64"/>
        <item x="89"/>
        <item x="101"/>
        <item x="65"/>
        <item x="70"/>
        <item x="91"/>
        <item x="13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3" showAll="0"/>
    <pivotField numFmtId="164" showAll="0"/>
    <pivotField dataField="1" numFmtId="164" showAll="0"/>
    <pivotField showAll="0"/>
    <pivotField showAll="0"/>
    <pivotField showAll="0"/>
  </pivotFields>
  <rowFields count="1">
    <field x="1"/>
  </rowFields>
  <rowItems count="222">
    <i>
      <x v="140"/>
    </i>
    <i>
      <x v="74"/>
    </i>
    <i>
      <x v="27"/>
    </i>
    <i>
      <x v="197"/>
    </i>
    <i>
      <x v="58"/>
    </i>
    <i>
      <x v="6"/>
    </i>
    <i>
      <x v="66"/>
    </i>
    <i>
      <x v="117"/>
    </i>
    <i>
      <x v="67"/>
    </i>
    <i>
      <x v="149"/>
    </i>
    <i>
      <x v="199"/>
    </i>
    <i>
      <x v="219"/>
    </i>
    <i>
      <x v="218"/>
    </i>
    <i>
      <x v="203"/>
    </i>
    <i>
      <x v="167"/>
    </i>
    <i>
      <x v="32"/>
    </i>
    <i>
      <x v="73"/>
    </i>
    <i>
      <x v="151"/>
    </i>
    <i>
      <x v="70"/>
    </i>
    <i>
      <x v="35"/>
    </i>
    <i>
      <x v="189"/>
    </i>
    <i>
      <x v="122"/>
    </i>
    <i>
      <x v="196"/>
    </i>
    <i>
      <x v="71"/>
    </i>
    <i>
      <x v="33"/>
    </i>
    <i>
      <x v="193"/>
    </i>
    <i>
      <x v="88"/>
    </i>
    <i>
      <x v="92"/>
    </i>
    <i>
      <x v="3"/>
    </i>
    <i>
      <x v="72"/>
    </i>
    <i>
      <x v="147"/>
    </i>
    <i>
      <x v="7"/>
    </i>
    <i>
      <x v="56"/>
    </i>
    <i>
      <x v="8"/>
    </i>
    <i>
      <x v="198"/>
    </i>
    <i>
      <x v="220"/>
    </i>
    <i>
      <x v="202"/>
    </i>
    <i>
      <x v="12"/>
    </i>
    <i>
      <x v="2"/>
    </i>
    <i>
      <x v="28"/>
    </i>
    <i>
      <x v="124"/>
    </i>
    <i>
      <x v="9"/>
    </i>
    <i>
      <x v="69"/>
    </i>
    <i>
      <x v="87"/>
    </i>
    <i>
      <x v="4"/>
    </i>
    <i>
      <x v="205"/>
    </i>
    <i>
      <x v="68"/>
    </i>
    <i>
      <x v="187"/>
    </i>
    <i>
      <x v="215"/>
    </i>
    <i>
      <x v="150"/>
    </i>
    <i>
      <x v="186"/>
    </i>
    <i>
      <x v="141"/>
    </i>
    <i>
      <x v="148"/>
    </i>
    <i>
      <x v="51"/>
    </i>
    <i>
      <x v="177"/>
    </i>
    <i>
      <x v="131"/>
    </i>
    <i>
      <x v="49"/>
    </i>
    <i>
      <x v="5"/>
    </i>
    <i>
      <x v="161"/>
    </i>
    <i>
      <x v="97"/>
    </i>
    <i>
      <x v="42"/>
    </i>
    <i>
      <x v="109"/>
    </i>
    <i>
      <x v="158"/>
    </i>
    <i>
      <x v="214"/>
    </i>
    <i>
      <x v="45"/>
    </i>
    <i>
      <x v="91"/>
    </i>
    <i>
      <x v="52"/>
    </i>
    <i>
      <x v="93"/>
    </i>
    <i>
      <x v="10"/>
    </i>
    <i>
      <x v="39"/>
    </i>
    <i>
      <x v="26"/>
    </i>
    <i>
      <x v="191"/>
    </i>
    <i>
      <x v="183"/>
    </i>
    <i>
      <x v="44"/>
    </i>
    <i>
      <x v="41"/>
    </i>
    <i>
      <x v="145"/>
    </i>
    <i>
      <x v="38"/>
    </i>
    <i>
      <x v="146"/>
    </i>
    <i>
      <x v="159"/>
    </i>
    <i>
      <x v="180"/>
    </i>
    <i>
      <x v="175"/>
    </i>
    <i>
      <x v="178"/>
    </i>
    <i>
      <x v="61"/>
    </i>
    <i>
      <x v="62"/>
    </i>
    <i>
      <x v="25"/>
    </i>
    <i>
      <x v="143"/>
    </i>
    <i>
      <x v="31"/>
    </i>
    <i>
      <x v="165"/>
    </i>
    <i>
      <x v="78"/>
    </i>
    <i>
      <x v="207"/>
    </i>
    <i>
      <x v="112"/>
    </i>
    <i>
      <x/>
    </i>
    <i>
      <x v="79"/>
    </i>
    <i>
      <x v="75"/>
    </i>
    <i>
      <x v="171"/>
    </i>
    <i>
      <x v="113"/>
    </i>
    <i>
      <x v="76"/>
    </i>
    <i>
      <x v="63"/>
    </i>
    <i>
      <x v="217"/>
    </i>
    <i>
      <x v="201"/>
    </i>
    <i>
      <x v="83"/>
    </i>
    <i>
      <x v="153"/>
    </i>
    <i>
      <x v="29"/>
    </i>
    <i>
      <x v="125"/>
    </i>
    <i>
      <x v="115"/>
    </i>
    <i>
      <x v="99"/>
    </i>
    <i>
      <x v="126"/>
    </i>
    <i>
      <x v="37"/>
    </i>
    <i>
      <x v="40"/>
    </i>
    <i>
      <x v="100"/>
    </i>
    <i>
      <x v="120"/>
    </i>
    <i>
      <x v="50"/>
    </i>
    <i>
      <x v="24"/>
    </i>
    <i>
      <x v="192"/>
    </i>
    <i>
      <x v="138"/>
    </i>
    <i>
      <x v="176"/>
    </i>
    <i>
      <x v="48"/>
    </i>
    <i>
      <x v="182"/>
    </i>
    <i>
      <x v="166"/>
    </i>
    <i>
      <x v="108"/>
    </i>
    <i>
      <x v="134"/>
    </i>
    <i>
      <x v="206"/>
    </i>
    <i>
      <x v="119"/>
    </i>
    <i>
      <x v="114"/>
    </i>
    <i>
      <x v="144"/>
    </i>
    <i>
      <x v="105"/>
    </i>
    <i>
      <x v="118"/>
    </i>
    <i>
      <x v="106"/>
    </i>
    <i>
      <x v="107"/>
    </i>
    <i>
      <x v="152"/>
    </i>
    <i>
      <x v="194"/>
    </i>
    <i>
      <x v="103"/>
    </i>
    <i>
      <x v="36"/>
    </i>
    <i>
      <x v="121"/>
    </i>
    <i>
      <x v="47"/>
    </i>
    <i>
      <x v="80"/>
    </i>
    <i>
      <x v="102"/>
    </i>
    <i>
      <x v="98"/>
    </i>
    <i>
      <x v="135"/>
    </i>
    <i>
      <x v="204"/>
    </i>
    <i>
      <x v="181"/>
    </i>
    <i>
      <x v="23"/>
    </i>
    <i>
      <x v="172"/>
    </i>
    <i>
      <x v="94"/>
    </i>
    <i>
      <x v="216"/>
    </i>
    <i>
      <x v="123"/>
    </i>
    <i>
      <x v="43"/>
    </i>
    <i>
      <x v="60"/>
    </i>
    <i>
      <x v="81"/>
    </i>
    <i>
      <x v="210"/>
    </i>
    <i>
      <x v="96"/>
    </i>
    <i>
      <x v="130"/>
    </i>
    <i>
      <x v="30"/>
    </i>
    <i>
      <x v="164"/>
    </i>
    <i>
      <x v="142"/>
    </i>
    <i>
      <x v="95"/>
    </i>
    <i>
      <x v="163"/>
    </i>
    <i>
      <x v="53"/>
    </i>
    <i>
      <x v="57"/>
    </i>
    <i>
      <x v="15"/>
    </i>
    <i>
      <x v="129"/>
    </i>
    <i>
      <x v="179"/>
    </i>
    <i>
      <x v="20"/>
    </i>
    <i>
      <x v="208"/>
    </i>
    <i>
      <x v="157"/>
    </i>
    <i>
      <x v="154"/>
    </i>
    <i>
      <x v="190"/>
    </i>
    <i>
      <x v="13"/>
    </i>
    <i>
      <x v="136"/>
    </i>
    <i>
      <x v="209"/>
    </i>
    <i>
      <x v="132"/>
    </i>
    <i>
      <x v="213"/>
    </i>
    <i>
      <x v="160"/>
    </i>
    <i>
      <x v="86"/>
    </i>
    <i>
      <x v="128"/>
    </i>
    <i>
      <x v="1"/>
    </i>
    <i>
      <x v="64"/>
    </i>
    <i>
      <x v="169"/>
    </i>
    <i>
      <x v="85"/>
    </i>
    <i>
      <x v="65"/>
    </i>
    <i>
      <x v="185"/>
    </i>
    <i>
      <x v="90"/>
    </i>
    <i>
      <x v="116"/>
    </i>
    <i>
      <x v="77"/>
    </i>
    <i>
      <x v="184"/>
    </i>
    <i>
      <x v="21"/>
    </i>
    <i>
      <x v="211"/>
    </i>
    <i>
      <x v="84"/>
    </i>
    <i>
      <x v="111"/>
    </i>
    <i>
      <x v="34"/>
    </i>
    <i>
      <x v="162"/>
    </i>
    <i>
      <x v="110"/>
    </i>
    <i>
      <x v="14"/>
    </i>
    <i>
      <x v="188"/>
    </i>
    <i>
      <x v="104"/>
    </i>
    <i>
      <x v="127"/>
    </i>
    <i>
      <x v="89"/>
    </i>
    <i>
      <x v="16"/>
    </i>
    <i>
      <x v="18"/>
    </i>
    <i>
      <x v="173"/>
    </i>
    <i>
      <x v="82"/>
    </i>
    <i>
      <x v="17"/>
    </i>
    <i>
      <x v="54"/>
    </i>
    <i>
      <x v="212"/>
    </i>
    <i>
      <x v="19"/>
    </i>
    <i>
      <x v="46"/>
    </i>
    <i>
      <x v="133"/>
    </i>
    <i>
      <x v="11"/>
    </i>
    <i>
      <x v="170"/>
    </i>
    <i>
      <x v="55"/>
    </i>
    <i>
      <x v="155"/>
    </i>
    <i>
      <x v="200"/>
    </i>
    <i>
      <x v="156"/>
    </i>
    <i>
      <x v="59"/>
    </i>
    <i>
      <x v="174"/>
    </i>
    <i>
      <x v="168"/>
    </i>
    <i>
      <x v="22"/>
    </i>
    <i>
      <x v="101"/>
    </i>
    <i>
      <x v="137"/>
    </i>
    <i>
      <x v="139"/>
    </i>
    <i>
      <x v="19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y" fld="2" baseField="0" baseItem="0" numFmtId="3"/>
    <dataField name="Revenue(Rp)" fld="4" baseField="0" baseItem="0" numFmtId="164"/>
    <dataField name="% Kumulatif" fld="4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C15F3-207F-4EB4-A2E9-17B7C27F7921}" name="Table2" displayName="Table2" ref="A1:H425" totalsRowShown="0">
  <autoFilter ref="A1:H425" xr:uid="{58FC15F3-207F-4EB4-A2E9-17B7C27F7921}"/>
  <tableColumns count="8">
    <tableColumn id="1" xr3:uid="{35149C42-7B03-45A5-815D-583B95AEE48E}" name="tanggal" dataDxfId="13"/>
    <tableColumn id="2" xr3:uid="{F726FD85-1F7D-4620-9397-D0110B353AAA}" name="nama_produk" dataDxfId="12"/>
    <tableColumn id="3" xr3:uid="{223796FD-1029-4D94-8DD1-64882F3F629A}" name="jumlah" dataDxfId="11"/>
    <tableColumn id="4" xr3:uid="{641A6AE3-FAF1-4237-AC00-D820DDFA5A6D}" name="harga" dataDxfId="10">
      <calculatedColumnFormula>E2/C2</calculatedColumnFormula>
    </tableColumn>
    <tableColumn id="5" xr3:uid="{85F01D8A-1D24-4B12-9E06-90885BF4BFE7}" name="total_harga (Rp)" dataDxfId="9"/>
    <tableColumn id="6" xr3:uid="{86609994-A4CF-4573-95C9-EA940BE0518E}" name="Keterangan" dataDxfId="8"/>
    <tableColumn id="7" xr3:uid="{6F12D644-F818-416A-85D2-07047BEDE9C1}" name="bulan" dataDxfId="7">
      <calculatedColumnFormula>TEXT(A2,"mmm")</calculatedColumnFormula>
    </tableColumn>
    <tableColumn id="8" xr3:uid="{C0EA737B-D8B2-436D-B1B3-EC7C4A448CD5}" name="hari_dalam_minggu" dataDxfId="6">
      <calculatedColumnFormula>TEXT(A2, 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EE5E-FF99-40B7-885A-3EBD31E631BE}">
  <dimension ref="A3:B11"/>
  <sheetViews>
    <sheetView workbookViewId="0">
      <selection activeCell="B4" sqref="B4"/>
    </sheetView>
  </sheetViews>
  <sheetFormatPr defaultRowHeight="13.2" x14ac:dyDescent="0.25"/>
  <cols>
    <col min="1" max="1" width="13.33203125" bestFit="1" customWidth="1"/>
    <col min="2" max="2" width="22.21875" bestFit="1" customWidth="1"/>
  </cols>
  <sheetData>
    <row r="3" spans="1:2" x14ac:dyDescent="0.25">
      <c r="A3" s="12" t="s">
        <v>248</v>
      </c>
      <c r="B3" t="s">
        <v>256</v>
      </c>
    </row>
    <row r="4" spans="1:2" x14ac:dyDescent="0.25">
      <c r="A4" s="13" t="s">
        <v>249</v>
      </c>
      <c r="B4" s="20">
        <v>50000</v>
      </c>
    </row>
    <row r="5" spans="1:2" x14ac:dyDescent="0.25">
      <c r="A5" s="13" t="s">
        <v>250</v>
      </c>
      <c r="B5" s="20">
        <v>2099000</v>
      </c>
    </row>
    <row r="6" spans="1:2" x14ac:dyDescent="0.25">
      <c r="A6" s="13" t="s">
        <v>251</v>
      </c>
      <c r="B6" s="20">
        <v>1429000</v>
      </c>
    </row>
    <row r="7" spans="1:2" x14ac:dyDescent="0.25">
      <c r="A7" s="13" t="s">
        <v>252</v>
      </c>
      <c r="B7" s="20">
        <v>2551500</v>
      </c>
    </row>
    <row r="8" spans="1:2" x14ac:dyDescent="0.25">
      <c r="A8" s="13" t="s">
        <v>253</v>
      </c>
      <c r="B8" s="20">
        <v>2339500</v>
      </c>
    </row>
    <row r="9" spans="1:2" x14ac:dyDescent="0.25">
      <c r="A9" s="13" t="s">
        <v>254</v>
      </c>
      <c r="B9" s="20">
        <v>1700000</v>
      </c>
    </row>
    <row r="10" spans="1:2" x14ac:dyDescent="0.25">
      <c r="A10" s="13" t="s">
        <v>255</v>
      </c>
      <c r="B10" s="20">
        <v>3632500</v>
      </c>
    </row>
    <row r="11" spans="1:2" x14ac:dyDescent="0.25">
      <c r="A11" s="13" t="s">
        <v>239</v>
      </c>
      <c r="B11" s="20">
        <v>13801500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39"/>
  <sheetViews>
    <sheetView tabSelected="1" topLeftCell="A92" workbookViewId="0">
      <selection activeCell="H100" sqref="H100"/>
    </sheetView>
  </sheetViews>
  <sheetFormatPr defaultColWidth="12.6640625" defaultRowHeight="15.75" customHeight="1" x14ac:dyDescent="0.25"/>
  <cols>
    <col min="1" max="1" width="10.5546875" customWidth="1"/>
    <col min="2" max="2" width="25" bestFit="1" customWidth="1"/>
    <col min="3" max="3" width="8.5546875" customWidth="1"/>
    <col min="5" max="5" width="17.109375" customWidth="1"/>
    <col min="6" max="6" width="13" customWidth="1"/>
    <col min="8" max="8" width="22.77734375" customWidth="1"/>
  </cols>
  <sheetData>
    <row r="1" spans="1:8" ht="13.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</row>
    <row r="2" spans="1:8" ht="13.2" x14ac:dyDescent="0.25">
      <c r="A2" s="1">
        <v>46146</v>
      </c>
      <c r="B2" s="2" t="s">
        <v>8</v>
      </c>
      <c r="C2" s="3">
        <v>1</v>
      </c>
      <c r="D2" s="4">
        <f t="shared" ref="D2:D256" si="0">E2/C2</f>
        <v>10000</v>
      </c>
      <c r="E2" s="4">
        <v>10000</v>
      </c>
      <c r="F2" s="5"/>
      <c r="G2" s="7" t="str">
        <f t="shared" ref="G2:G256" si="1">TEXT(A2,"mmm")</f>
        <v>May</v>
      </c>
      <c r="H2" s="7" t="str">
        <f t="shared" ref="H2:H256" si="2">TEXT(A2, "ddd")</f>
        <v>Mon</v>
      </c>
    </row>
    <row r="3" spans="1:8" ht="13.2" x14ac:dyDescent="0.25">
      <c r="A3" s="1">
        <v>46146</v>
      </c>
      <c r="B3" s="2" t="s">
        <v>9</v>
      </c>
      <c r="C3" s="3">
        <v>2</v>
      </c>
      <c r="D3" s="4">
        <f t="shared" si="0"/>
        <v>35000</v>
      </c>
      <c r="E3" s="4">
        <v>70000</v>
      </c>
      <c r="F3" s="5"/>
      <c r="G3" s="7" t="str">
        <f t="shared" si="1"/>
        <v>May</v>
      </c>
      <c r="H3" s="7" t="str">
        <f t="shared" si="2"/>
        <v>Mon</v>
      </c>
    </row>
    <row r="4" spans="1:8" ht="13.2" x14ac:dyDescent="0.25">
      <c r="A4" s="1">
        <v>46146</v>
      </c>
      <c r="B4" s="2" t="s">
        <v>10</v>
      </c>
      <c r="C4" s="3">
        <v>1</v>
      </c>
      <c r="D4" s="4">
        <f t="shared" si="0"/>
        <v>15000</v>
      </c>
      <c r="E4" s="4">
        <v>15000</v>
      </c>
      <c r="F4" s="5"/>
      <c r="G4" s="7" t="str">
        <f t="shared" si="1"/>
        <v>May</v>
      </c>
      <c r="H4" s="7" t="str">
        <f t="shared" si="2"/>
        <v>Mon</v>
      </c>
    </row>
    <row r="5" spans="1:8" ht="13.2" x14ac:dyDescent="0.25">
      <c r="A5" s="1">
        <v>46146</v>
      </c>
      <c r="B5" s="2" t="s">
        <v>11</v>
      </c>
      <c r="C5" s="3">
        <v>1</v>
      </c>
      <c r="D5" s="4">
        <f t="shared" si="0"/>
        <v>20000</v>
      </c>
      <c r="E5" s="4">
        <v>20000</v>
      </c>
      <c r="F5" s="5"/>
      <c r="G5" s="7" t="str">
        <f t="shared" si="1"/>
        <v>May</v>
      </c>
      <c r="H5" s="7" t="str">
        <f t="shared" si="2"/>
        <v>Mon</v>
      </c>
    </row>
    <row r="6" spans="1:8" ht="13.2" x14ac:dyDescent="0.25">
      <c r="A6" s="1">
        <v>46146</v>
      </c>
      <c r="B6" s="2" t="s">
        <v>12</v>
      </c>
      <c r="C6" s="3">
        <v>1</v>
      </c>
      <c r="D6" s="4">
        <f t="shared" si="0"/>
        <v>10000</v>
      </c>
      <c r="E6" s="4">
        <v>10000</v>
      </c>
      <c r="F6" s="5"/>
      <c r="G6" s="7" t="str">
        <f t="shared" si="1"/>
        <v>May</v>
      </c>
      <c r="H6" s="7" t="str">
        <f t="shared" si="2"/>
        <v>Mon</v>
      </c>
    </row>
    <row r="7" spans="1:8" ht="13.2" x14ac:dyDescent="0.25">
      <c r="A7" s="1">
        <v>46146</v>
      </c>
      <c r="B7" s="2" t="s">
        <v>13</v>
      </c>
      <c r="C7" s="3">
        <v>1</v>
      </c>
      <c r="D7" s="4">
        <f t="shared" si="0"/>
        <v>40000</v>
      </c>
      <c r="E7" s="4">
        <v>40000</v>
      </c>
      <c r="F7" s="5" t="s">
        <v>14</v>
      </c>
      <c r="G7" s="7" t="str">
        <f t="shared" si="1"/>
        <v>May</v>
      </c>
      <c r="H7" s="7" t="str">
        <f t="shared" si="2"/>
        <v>Mon</v>
      </c>
    </row>
    <row r="8" spans="1:8" ht="13.2" x14ac:dyDescent="0.25">
      <c r="A8" s="1">
        <v>46147</v>
      </c>
      <c r="B8" s="2" t="s">
        <v>11</v>
      </c>
      <c r="C8" s="3">
        <v>2</v>
      </c>
      <c r="D8" s="4">
        <f t="shared" si="0"/>
        <v>20000</v>
      </c>
      <c r="E8" s="4">
        <v>40000</v>
      </c>
      <c r="F8" s="5" t="s">
        <v>14</v>
      </c>
      <c r="G8" s="7" t="str">
        <f t="shared" si="1"/>
        <v>May</v>
      </c>
      <c r="H8" s="7" t="str">
        <f t="shared" si="2"/>
        <v>Tue</v>
      </c>
    </row>
    <row r="9" spans="1:8" ht="13.2" x14ac:dyDescent="0.25">
      <c r="A9" s="1">
        <v>46147</v>
      </c>
      <c r="B9" s="2" t="s">
        <v>15</v>
      </c>
      <c r="C9" s="3">
        <v>1</v>
      </c>
      <c r="D9" s="4">
        <f t="shared" si="0"/>
        <v>22000</v>
      </c>
      <c r="E9" s="4">
        <v>22000</v>
      </c>
      <c r="F9" s="5"/>
      <c r="G9" s="7" t="str">
        <f t="shared" si="1"/>
        <v>May</v>
      </c>
      <c r="H9" s="7" t="str">
        <f t="shared" si="2"/>
        <v>Tue</v>
      </c>
    </row>
    <row r="10" spans="1:8" ht="13.2" x14ac:dyDescent="0.25">
      <c r="A10" s="1">
        <v>46147</v>
      </c>
      <c r="B10" s="2" t="s">
        <v>16</v>
      </c>
      <c r="C10" s="3">
        <v>2</v>
      </c>
      <c r="D10" s="4">
        <f t="shared" si="0"/>
        <v>10000</v>
      </c>
      <c r="E10" s="4">
        <v>20000</v>
      </c>
      <c r="F10" s="5"/>
      <c r="G10" s="7" t="str">
        <f t="shared" si="1"/>
        <v>May</v>
      </c>
      <c r="H10" s="7" t="str">
        <f t="shared" si="2"/>
        <v>Tue</v>
      </c>
    </row>
    <row r="11" spans="1:8" ht="13.2" x14ac:dyDescent="0.25">
      <c r="A11" s="1">
        <v>46147</v>
      </c>
      <c r="B11" s="2" t="s">
        <v>17</v>
      </c>
      <c r="C11" s="3">
        <v>2</v>
      </c>
      <c r="D11" s="4">
        <f t="shared" si="0"/>
        <v>10000</v>
      </c>
      <c r="E11" s="4">
        <v>20000</v>
      </c>
      <c r="F11" s="5"/>
      <c r="G11" s="7" t="str">
        <f t="shared" si="1"/>
        <v>May</v>
      </c>
      <c r="H11" s="7" t="str">
        <f t="shared" si="2"/>
        <v>Tue</v>
      </c>
    </row>
    <row r="12" spans="1:8" ht="13.2" x14ac:dyDescent="0.25">
      <c r="A12" s="1">
        <v>46147</v>
      </c>
      <c r="B12" s="2" t="s">
        <v>18</v>
      </c>
      <c r="C12" s="3">
        <v>1</v>
      </c>
      <c r="D12" s="4">
        <f t="shared" si="0"/>
        <v>10000</v>
      </c>
      <c r="E12" s="4">
        <v>10000</v>
      </c>
      <c r="F12" s="5"/>
      <c r="G12" s="7" t="str">
        <f t="shared" si="1"/>
        <v>May</v>
      </c>
      <c r="H12" s="7" t="str">
        <f t="shared" si="2"/>
        <v>Tue</v>
      </c>
    </row>
    <row r="13" spans="1:8" ht="13.2" x14ac:dyDescent="0.25">
      <c r="A13" s="1">
        <v>46147</v>
      </c>
      <c r="B13" s="2" t="s">
        <v>19</v>
      </c>
      <c r="C13" s="3">
        <v>1</v>
      </c>
      <c r="D13" s="4">
        <f t="shared" si="0"/>
        <v>35000</v>
      </c>
      <c r="E13" s="4">
        <v>35000</v>
      </c>
      <c r="F13" s="5"/>
      <c r="G13" s="7" t="str">
        <f t="shared" si="1"/>
        <v>May</v>
      </c>
      <c r="H13" s="7" t="str">
        <f t="shared" si="2"/>
        <v>Tue</v>
      </c>
    </row>
    <row r="14" spans="1:8" ht="13.2" x14ac:dyDescent="0.25">
      <c r="A14" s="1">
        <v>46147</v>
      </c>
      <c r="B14" s="2" t="s">
        <v>10</v>
      </c>
      <c r="C14" s="3">
        <v>1</v>
      </c>
      <c r="D14" s="4">
        <f t="shared" si="0"/>
        <v>15000</v>
      </c>
      <c r="E14" s="4">
        <v>15000</v>
      </c>
      <c r="F14" s="5"/>
      <c r="G14" s="7" t="str">
        <f t="shared" si="1"/>
        <v>May</v>
      </c>
      <c r="H14" s="7" t="str">
        <f t="shared" si="2"/>
        <v>Tue</v>
      </c>
    </row>
    <row r="15" spans="1:8" ht="13.2" x14ac:dyDescent="0.25">
      <c r="A15" s="1">
        <v>46147</v>
      </c>
      <c r="B15" s="2" t="s">
        <v>20</v>
      </c>
      <c r="C15" s="3">
        <v>2</v>
      </c>
      <c r="D15" s="4">
        <f t="shared" si="0"/>
        <v>10000</v>
      </c>
      <c r="E15" s="4">
        <v>20000</v>
      </c>
      <c r="F15" s="5" t="s">
        <v>14</v>
      </c>
      <c r="G15" s="7" t="str">
        <f t="shared" si="1"/>
        <v>May</v>
      </c>
      <c r="H15" s="7" t="str">
        <f t="shared" si="2"/>
        <v>Tue</v>
      </c>
    </row>
    <row r="16" spans="1:8" ht="13.2" x14ac:dyDescent="0.25">
      <c r="A16" s="1">
        <v>46147</v>
      </c>
      <c r="B16" s="2" t="s">
        <v>15</v>
      </c>
      <c r="C16" s="3">
        <v>1</v>
      </c>
      <c r="D16" s="4">
        <f t="shared" si="0"/>
        <v>22000</v>
      </c>
      <c r="E16" s="4">
        <v>22000</v>
      </c>
      <c r="F16" s="5"/>
      <c r="G16" s="7" t="str">
        <f t="shared" si="1"/>
        <v>May</v>
      </c>
      <c r="H16" s="7" t="str">
        <f t="shared" si="2"/>
        <v>Tue</v>
      </c>
    </row>
    <row r="17" spans="1:8" ht="13.2" x14ac:dyDescent="0.25">
      <c r="A17" s="1">
        <v>46147</v>
      </c>
      <c r="B17" s="2" t="s">
        <v>21</v>
      </c>
      <c r="C17" s="3">
        <v>1</v>
      </c>
      <c r="D17" s="4">
        <f t="shared" si="0"/>
        <v>52000</v>
      </c>
      <c r="E17" s="4">
        <v>52000</v>
      </c>
      <c r="F17" s="5"/>
      <c r="G17" s="7" t="str">
        <f t="shared" si="1"/>
        <v>May</v>
      </c>
      <c r="H17" s="7" t="str">
        <f t="shared" si="2"/>
        <v>Tue</v>
      </c>
    </row>
    <row r="18" spans="1:8" ht="13.2" x14ac:dyDescent="0.25">
      <c r="A18" s="1">
        <v>46149</v>
      </c>
      <c r="B18" s="2" t="s">
        <v>18</v>
      </c>
      <c r="C18" s="3">
        <v>1</v>
      </c>
      <c r="D18" s="4">
        <f t="shared" si="0"/>
        <v>10000</v>
      </c>
      <c r="E18" s="4">
        <v>10000</v>
      </c>
      <c r="F18" s="5"/>
      <c r="G18" s="7" t="str">
        <f t="shared" si="1"/>
        <v>May</v>
      </c>
      <c r="H18" s="7" t="str">
        <f t="shared" si="2"/>
        <v>Thu</v>
      </c>
    </row>
    <row r="19" spans="1:8" ht="13.2" x14ac:dyDescent="0.25">
      <c r="A19" s="1">
        <v>46149</v>
      </c>
      <c r="B19" s="2" t="s">
        <v>22</v>
      </c>
      <c r="C19" s="3">
        <v>1</v>
      </c>
      <c r="D19" s="4">
        <f t="shared" si="0"/>
        <v>30000</v>
      </c>
      <c r="E19" s="4">
        <v>30000</v>
      </c>
      <c r="F19" s="5"/>
      <c r="G19" s="7" t="str">
        <f t="shared" si="1"/>
        <v>May</v>
      </c>
      <c r="H19" s="7" t="str">
        <f t="shared" si="2"/>
        <v>Thu</v>
      </c>
    </row>
    <row r="20" spans="1:8" ht="13.2" x14ac:dyDescent="0.25">
      <c r="A20" s="1">
        <v>46149</v>
      </c>
      <c r="B20" s="2" t="s">
        <v>17</v>
      </c>
      <c r="C20" s="3">
        <v>1</v>
      </c>
      <c r="D20" s="4">
        <f t="shared" si="0"/>
        <v>10000</v>
      </c>
      <c r="E20" s="4">
        <v>10000</v>
      </c>
      <c r="F20" s="5"/>
      <c r="G20" s="7" t="str">
        <f t="shared" si="1"/>
        <v>May</v>
      </c>
      <c r="H20" s="7" t="str">
        <f t="shared" si="2"/>
        <v>Thu</v>
      </c>
    </row>
    <row r="21" spans="1:8" ht="13.2" x14ac:dyDescent="0.25">
      <c r="A21" s="1">
        <v>46150</v>
      </c>
      <c r="B21" s="2" t="s">
        <v>10</v>
      </c>
      <c r="C21" s="3">
        <v>1</v>
      </c>
      <c r="D21" s="4">
        <f t="shared" si="0"/>
        <v>15000</v>
      </c>
      <c r="E21" s="4">
        <v>15000</v>
      </c>
      <c r="F21" s="5"/>
      <c r="G21" s="7" t="str">
        <f t="shared" si="1"/>
        <v>May</v>
      </c>
      <c r="H21" s="7" t="str">
        <f t="shared" si="2"/>
        <v>Fri</v>
      </c>
    </row>
    <row r="22" spans="1:8" ht="13.2" x14ac:dyDescent="0.25">
      <c r="A22" s="1">
        <v>46150</v>
      </c>
      <c r="B22" s="2" t="s">
        <v>23</v>
      </c>
      <c r="C22" s="3">
        <v>1</v>
      </c>
      <c r="D22" s="4">
        <f t="shared" si="0"/>
        <v>15000</v>
      </c>
      <c r="E22" s="4">
        <v>15000</v>
      </c>
      <c r="F22" s="5"/>
      <c r="G22" s="7" t="str">
        <f t="shared" si="1"/>
        <v>May</v>
      </c>
      <c r="H22" s="7" t="str">
        <f t="shared" si="2"/>
        <v>Fri</v>
      </c>
    </row>
    <row r="23" spans="1:8" ht="13.2" x14ac:dyDescent="0.25">
      <c r="A23" s="1">
        <v>46151</v>
      </c>
      <c r="B23" s="2" t="s">
        <v>25</v>
      </c>
      <c r="C23" s="3">
        <v>1</v>
      </c>
      <c r="D23" s="4">
        <f t="shared" si="0"/>
        <v>15000</v>
      </c>
      <c r="E23" s="4">
        <v>15000</v>
      </c>
      <c r="F23" s="5"/>
      <c r="G23" s="7" t="str">
        <f t="shared" si="1"/>
        <v>May</v>
      </c>
      <c r="H23" s="7" t="str">
        <f t="shared" si="2"/>
        <v>Sat</v>
      </c>
    </row>
    <row r="24" spans="1:8" ht="13.2" x14ac:dyDescent="0.25">
      <c r="A24" s="1">
        <v>46151</v>
      </c>
      <c r="B24" s="2" t="s">
        <v>26</v>
      </c>
      <c r="C24" s="3">
        <v>1</v>
      </c>
      <c r="D24" s="4">
        <f t="shared" si="0"/>
        <v>45000</v>
      </c>
      <c r="E24" s="4">
        <v>45000</v>
      </c>
      <c r="F24" s="5"/>
      <c r="G24" s="7" t="str">
        <f t="shared" si="1"/>
        <v>May</v>
      </c>
      <c r="H24" s="7" t="str">
        <f t="shared" si="2"/>
        <v>Sat</v>
      </c>
    </row>
    <row r="25" spans="1:8" ht="13.2" x14ac:dyDescent="0.25">
      <c r="A25" s="1">
        <v>46151</v>
      </c>
      <c r="B25" s="2" t="s">
        <v>31</v>
      </c>
      <c r="C25" s="3">
        <v>1</v>
      </c>
      <c r="D25" s="4">
        <f t="shared" si="0"/>
        <v>40000</v>
      </c>
      <c r="E25" s="4">
        <v>40000</v>
      </c>
      <c r="F25" s="5"/>
      <c r="G25" s="7" t="str">
        <f t="shared" si="1"/>
        <v>May</v>
      </c>
      <c r="H25" s="7" t="str">
        <f t="shared" si="2"/>
        <v>Sat</v>
      </c>
    </row>
    <row r="26" spans="1:8" ht="13.2" x14ac:dyDescent="0.25">
      <c r="A26" s="1">
        <v>46151</v>
      </c>
      <c r="B26" s="2" t="s">
        <v>33</v>
      </c>
      <c r="C26" s="3">
        <v>1</v>
      </c>
      <c r="D26" s="4">
        <f t="shared" si="0"/>
        <v>10000</v>
      </c>
      <c r="E26" s="4">
        <v>10000</v>
      </c>
      <c r="F26" s="5"/>
      <c r="G26" s="7" t="str">
        <f t="shared" si="1"/>
        <v>May</v>
      </c>
      <c r="H26" s="7" t="str">
        <f t="shared" si="2"/>
        <v>Sat</v>
      </c>
    </row>
    <row r="27" spans="1:8" ht="13.2" x14ac:dyDescent="0.25">
      <c r="A27" s="1">
        <v>46151</v>
      </c>
      <c r="B27" s="2" t="s">
        <v>37</v>
      </c>
      <c r="C27" s="3">
        <v>1</v>
      </c>
      <c r="D27" s="4">
        <f t="shared" si="0"/>
        <v>5000</v>
      </c>
      <c r="E27" s="4">
        <v>5000</v>
      </c>
      <c r="F27" s="5"/>
      <c r="G27" s="7" t="str">
        <f t="shared" si="1"/>
        <v>May</v>
      </c>
      <c r="H27" s="7" t="str">
        <f t="shared" si="2"/>
        <v>Sat</v>
      </c>
    </row>
    <row r="28" spans="1:8" ht="13.2" x14ac:dyDescent="0.25">
      <c r="A28" s="1">
        <v>46151</v>
      </c>
      <c r="B28" s="2" t="s">
        <v>40</v>
      </c>
      <c r="C28" s="3">
        <v>1</v>
      </c>
      <c r="D28" s="4">
        <f t="shared" si="0"/>
        <v>7000</v>
      </c>
      <c r="E28" s="4">
        <v>7000</v>
      </c>
      <c r="F28" s="5"/>
      <c r="G28" s="7" t="str">
        <f t="shared" si="1"/>
        <v>May</v>
      </c>
      <c r="H28" s="7" t="str">
        <f t="shared" si="2"/>
        <v>Sat</v>
      </c>
    </row>
    <row r="29" spans="1:8" ht="13.2" x14ac:dyDescent="0.25">
      <c r="A29" s="1">
        <v>46151</v>
      </c>
      <c r="B29" s="2" t="s">
        <v>43</v>
      </c>
      <c r="C29" s="3">
        <v>1</v>
      </c>
      <c r="D29" s="4">
        <f t="shared" si="0"/>
        <v>10000</v>
      </c>
      <c r="E29" s="4">
        <v>10000</v>
      </c>
      <c r="F29" s="5"/>
      <c r="G29" s="7" t="str">
        <f t="shared" si="1"/>
        <v>May</v>
      </c>
      <c r="H29" s="7" t="str">
        <f t="shared" si="2"/>
        <v>Sat</v>
      </c>
    </row>
    <row r="30" spans="1:8" ht="13.2" x14ac:dyDescent="0.25">
      <c r="A30" s="1">
        <v>46151</v>
      </c>
      <c r="B30" s="2" t="s">
        <v>45</v>
      </c>
      <c r="C30" s="3">
        <v>6</v>
      </c>
      <c r="D30" s="4">
        <f t="shared" si="0"/>
        <v>5000</v>
      </c>
      <c r="E30" s="4">
        <v>30000</v>
      </c>
      <c r="F30" s="5"/>
      <c r="G30" s="7" t="str">
        <f t="shared" si="1"/>
        <v>May</v>
      </c>
      <c r="H30" s="7" t="str">
        <f t="shared" si="2"/>
        <v>Sat</v>
      </c>
    </row>
    <row r="31" spans="1:8" ht="15" customHeight="1" x14ac:dyDescent="0.25">
      <c r="A31" s="1">
        <v>46151</v>
      </c>
      <c r="B31" s="2" t="s">
        <v>48</v>
      </c>
      <c r="C31" s="3">
        <v>1</v>
      </c>
      <c r="D31" s="4">
        <f t="shared" si="0"/>
        <v>15000</v>
      </c>
      <c r="E31" s="4">
        <v>15000</v>
      </c>
      <c r="F31" s="5"/>
      <c r="G31" s="7" t="str">
        <f t="shared" si="1"/>
        <v>May</v>
      </c>
      <c r="H31" s="7" t="str">
        <f t="shared" si="2"/>
        <v>Sat</v>
      </c>
    </row>
    <row r="32" spans="1:8" ht="13.2" x14ac:dyDescent="0.25">
      <c r="A32" s="1">
        <v>46151</v>
      </c>
      <c r="B32" s="2" t="s">
        <v>51</v>
      </c>
      <c r="C32" s="3">
        <v>6</v>
      </c>
      <c r="D32" s="4">
        <f t="shared" si="0"/>
        <v>4000</v>
      </c>
      <c r="E32" s="4">
        <v>24000</v>
      </c>
      <c r="F32" s="5"/>
      <c r="G32" s="7" t="str">
        <f t="shared" si="1"/>
        <v>May</v>
      </c>
      <c r="H32" s="7" t="str">
        <f t="shared" si="2"/>
        <v>Sat</v>
      </c>
    </row>
    <row r="33" spans="1:8" ht="13.2" x14ac:dyDescent="0.25">
      <c r="A33" s="1">
        <v>46151</v>
      </c>
      <c r="B33" s="2" t="s">
        <v>35</v>
      </c>
      <c r="C33" s="3">
        <v>1</v>
      </c>
      <c r="D33" s="4">
        <f t="shared" si="0"/>
        <v>115000</v>
      </c>
      <c r="E33" s="4">
        <v>115000</v>
      </c>
      <c r="F33" s="5"/>
      <c r="G33" s="7" t="str">
        <f t="shared" si="1"/>
        <v>May</v>
      </c>
      <c r="H33" s="7" t="str">
        <f t="shared" si="2"/>
        <v>Sat</v>
      </c>
    </row>
    <row r="34" spans="1:8" ht="13.2" x14ac:dyDescent="0.25">
      <c r="A34" s="1">
        <v>46151</v>
      </c>
      <c r="B34" s="2" t="s">
        <v>16</v>
      </c>
      <c r="C34" s="3">
        <v>2</v>
      </c>
      <c r="D34" s="4">
        <f t="shared" si="0"/>
        <v>10000</v>
      </c>
      <c r="E34" s="4">
        <v>20000</v>
      </c>
      <c r="F34" s="5"/>
      <c r="G34" s="7" t="str">
        <f t="shared" si="1"/>
        <v>May</v>
      </c>
      <c r="H34" s="7" t="str">
        <f t="shared" si="2"/>
        <v>Sat</v>
      </c>
    </row>
    <row r="35" spans="1:8" ht="13.2" x14ac:dyDescent="0.25">
      <c r="A35" s="1">
        <v>46151</v>
      </c>
      <c r="B35" s="2" t="s">
        <v>16</v>
      </c>
      <c r="C35" s="3">
        <v>2</v>
      </c>
      <c r="D35" s="4">
        <f t="shared" si="0"/>
        <v>10000</v>
      </c>
      <c r="E35" s="4">
        <v>20000</v>
      </c>
      <c r="F35" s="5"/>
      <c r="G35" s="7" t="str">
        <f t="shared" si="1"/>
        <v>May</v>
      </c>
      <c r="H35" s="7" t="str">
        <f t="shared" si="2"/>
        <v>Sat</v>
      </c>
    </row>
    <row r="36" spans="1:8" ht="13.2" x14ac:dyDescent="0.25">
      <c r="A36" s="1">
        <v>46151</v>
      </c>
      <c r="B36" s="2" t="s">
        <v>17</v>
      </c>
      <c r="C36" s="3">
        <v>1</v>
      </c>
      <c r="D36" s="4">
        <f t="shared" si="0"/>
        <v>10000</v>
      </c>
      <c r="E36" s="4">
        <v>10000</v>
      </c>
      <c r="F36" s="5"/>
      <c r="G36" s="7" t="str">
        <f t="shared" si="1"/>
        <v>May</v>
      </c>
      <c r="H36" s="7" t="str">
        <f t="shared" si="2"/>
        <v>Sat</v>
      </c>
    </row>
    <row r="37" spans="1:8" ht="13.2" x14ac:dyDescent="0.25">
      <c r="A37" s="1">
        <v>46151</v>
      </c>
      <c r="B37" s="2" t="s">
        <v>61</v>
      </c>
      <c r="C37" s="3">
        <v>1</v>
      </c>
      <c r="D37" s="4">
        <f t="shared" si="0"/>
        <v>15000</v>
      </c>
      <c r="E37" s="4">
        <v>15000</v>
      </c>
      <c r="F37" s="5"/>
      <c r="G37" s="7" t="str">
        <f t="shared" si="1"/>
        <v>May</v>
      </c>
      <c r="H37" s="7" t="str">
        <f t="shared" si="2"/>
        <v>Sat</v>
      </c>
    </row>
    <row r="38" spans="1:8" ht="13.2" x14ac:dyDescent="0.25">
      <c r="A38" s="1">
        <v>46153</v>
      </c>
      <c r="B38" s="2" t="s">
        <v>63</v>
      </c>
      <c r="C38" s="3">
        <v>1</v>
      </c>
      <c r="D38" s="4">
        <f t="shared" si="0"/>
        <v>10000</v>
      </c>
      <c r="E38" s="4">
        <v>10000</v>
      </c>
      <c r="F38" s="5"/>
      <c r="G38" s="7" t="str">
        <f t="shared" si="1"/>
        <v>May</v>
      </c>
      <c r="H38" s="7" t="str">
        <f t="shared" si="2"/>
        <v>Mon</v>
      </c>
    </row>
    <row r="39" spans="1:8" ht="13.2" x14ac:dyDescent="0.25">
      <c r="A39" s="1">
        <v>46153</v>
      </c>
      <c r="B39" s="2" t="s">
        <v>10</v>
      </c>
      <c r="C39" s="3">
        <v>3</v>
      </c>
      <c r="D39" s="4">
        <f t="shared" si="0"/>
        <v>15000</v>
      </c>
      <c r="E39" s="4">
        <v>45000</v>
      </c>
      <c r="F39" s="5"/>
      <c r="G39" s="7" t="str">
        <f t="shared" si="1"/>
        <v>May</v>
      </c>
      <c r="H39" s="7" t="str">
        <f t="shared" si="2"/>
        <v>Mon</v>
      </c>
    </row>
    <row r="40" spans="1:8" ht="13.2" x14ac:dyDescent="0.25">
      <c r="A40" s="1">
        <v>46153</v>
      </c>
      <c r="B40" s="2" t="s">
        <v>17</v>
      </c>
      <c r="C40" s="3">
        <v>2</v>
      </c>
      <c r="D40" s="4">
        <f t="shared" si="0"/>
        <v>10000</v>
      </c>
      <c r="E40" s="4">
        <v>20000</v>
      </c>
      <c r="F40" s="5"/>
      <c r="G40" s="7" t="str">
        <f t="shared" si="1"/>
        <v>May</v>
      </c>
      <c r="H40" s="7" t="str">
        <f t="shared" si="2"/>
        <v>Mon</v>
      </c>
    </row>
    <row r="41" spans="1:8" ht="13.2" x14ac:dyDescent="0.25">
      <c r="A41" s="1">
        <v>46153</v>
      </c>
      <c r="B41" s="2" t="s">
        <v>70</v>
      </c>
      <c r="C41" s="3">
        <v>1</v>
      </c>
      <c r="D41" s="4">
        <f t="shared" si="0"/>
        <v>20000</v>
      </c>
      <c r="E41" s="4">
        <v>20000</v>
      </c>
      <c r="F41" s="5"/>
      <c r="G41" s="7" t="str">
        <f t="shared" si="1"/>
        <v>May</v>
      </c>
      <c r="H41" s="7" t="str">
        <f t="shared" si="2"/>
        <v>Mon</v>
      </c>
    </row>
    <row r="42" spans="1:8" ht="13.2" x14ac:dyDescent="0.25">
      <c r="A42" s="1">
        <v>46153</v>
      </c>
      <c r="B42" s="2" t="s">
        <v>73</v>
      </c>
      <c r="C42" s="3">
        <v>1</v>
      </c>
      <c r="D42" s="4">
        <f t="shared" si="0"/>
        <v>13000</v>
      </c>
      <c r="E42" s="4">
        <v>13000</v>
      </c>
      <c r="F42" s="5"/>
      <c r="G42" s="7" t="str">
        <f t="shared" si="1"/>
        <v>May</v>
      </c>
      <c r="H42" s="7" t="str">
        <f t="shared" si="2"/>
        <v>Mon</v>
      </c>
    </row>
    <row r="43" spans="1:8" ht="13.2" x14ac:dyDescent="0.25">
      <c r="A43" s="1">
        <v>46153</v>
      </c>
      <c r="B43" s="2" t="s">
        <v>76</v>
      </c>
      <c r="C43" s="3">
        <v>1</v>
      </c>
      <c r="D43" s="4">
        <f t="shared" si="0"/>
        <v>35000</v>
      </c>
      <c r="E43" s="4">
        <v>35000</v>
      </c>
      <c r="F43" s="5"/>
      <c r="G43" s="7" t="str">
        <f t="shared" si="1"/>
        <v>May</v>
      </c>
      <c r="H43" s="7" t="str">
        <f t="shared" si="2"/>
        <v>Mon</v>
      </c>
    </row>
    <row r="44" spans="1:8" ht="13.2" x14ac:dyDescent="0.25">
      <c r="A44" s="1">
        <v>46153</v>
      </c>
      <c r="B44" s="2" t="s">
        <v>78</v>
      </c>
      <c r="C44" s="3">
        <v>1</v>
      </c>
      <c r="D44" s="4">
        <f t="shared" si="0"/>
        <v>15000</v>
      </c>
      <c r="E44" s="4">
        <v>15000</v>
      </c>
      <c r="F44" s="5"/>
      <c r="G44" s="7" t="str">
        <f t="shared" si="1"/>
        <v>May</v>
      </c>
      <c r="H44" s="7" t="str">
        <f t="shared" si="2"/>
        <v>Mon</v>
      </c>
    </row>
    <row r="45" spans="1:8" ht="13.2" x14ac:dyDescent="0.25">
      <c r="A45" s="1">
        <v>46153</v>
      </c>
      <c r="B45" s="2" t="s">
        <v>81</v>
      </c>
      <c r="C45" s="3">
        <v>1</v>
      </c>
      <c r="D45" s="4">
        <f t="shared" si="0"/>
        <v>15000</v>
      </c>
      <c r="E45" s="4">
        <v>15000</v>
      </c>
      <c r="F45" s="5"/>
      <c r="G45" s="7" t="str">
        <f t="shared" si="1"/>
        <v>May</v>
      </c>
      <c r="H45" s="7" t="str">
        <f t="shared" si="2"/>
        <v>Mon</v>
      </c>
    </row>
    <row r="46" spans="1:8" ht="13.2" x14ac:dyDescent="0.25">
      <c r="A46" s="1">
        <v>46153</v>
      </c>
      <c r="B46" s="2" t="s">
        <v>57</v>
      </c>
      <c r="C46" s="3">
        <v>3</v>
      </c>
      <c r="D46" s="4">
        <f t="shared" si="0"/>
        <v>7000</v>
      </c>
      <c r="E46" s="4">
        <v>21000</v>
      </c>
      <c r="F46" s="5"/>
      <c r="G46" s="7" t="str">
        <f t="shared" si="1"/>
        <v>May</v>
      </c>
      <c r="H46" s="7" t="str">
        <f t="shared" si="2"/>
        <v>Mon</v>
      </c>
    </row>
    <row r="47" spans="1:8" ht="13.2" x14ac:dyDescent="0.25">
      <c r="A47" s="1">
        <v>46153</v>
      </c>
      <c r="B47" s="2" t="s">
        <v>86</v>
      </c>
      <c r="C47" s="3">
        <v>1</v>
      </c>
      <c r="D47" s="4">
        <f t="shared" si="0"/>
        <v>33000</v>
      </c>
      <c r="E47" s="4">
        <v>33000</v>
      </c>
      <c r="F47" s="5"/>
      <c r="G47" s="7" t="str">
        <f t="shared" si="1"/>
        <v>May</v>
      </c>
      <c r="H47" s="7" t="str">
        <f t="shared" si="2"/>
        <v>Mon</v>
      </c>
    </row>
    <row r="48" spans="1:8" ht="13.2" x14ac:dyDescent="0.25">
      <c r="A48" s="1">
        <v>46153</v>
      </c>
      <c r="B48" s="2" t="s">
        <v>10</v>
      </c>
      <c r="C48" s="3">
        <v>1</v>
      </c>
      <c r="D48" s="4">
        <f t="shared" si="0"/>
        <v>15000</v>
      </c>
      <c r="E48" s="4">
        <v>15000</v>
      </c>
      <c r="F48" s="5"/>
      <c r="G48" s="7" t="str">
        <f t="shared" si="1"/>
        <v>May</v>
      </c>
      <c r="H48" s="7" t="str">
        <f t="shared" si="2"/>
        <v>Mon</v>
      </c>
    </row>
    <row r="49" spans="1:8" ht="13.2" x14ac:dyDescent="0.25">
      <c r="A49" s="1">
        <v>46153</v>
      </c>
      <c r="B49" s="2" t="s">
        <v>28</v>
      </c>
      <c r="C49" s="3">
        <v>1</v>
      </c>
      <c r="D49" s="4">
        <f t="shared" si="0"/>
        <v>30000</v>
      </c>
      <c r="E49" s="4">
        <v>30000</v>
      </c>
      <c r="F49" s="5"/>
      <c r="G49" s="7" t="str">
        <f t="shared" si="1"/>
        <v>May</v>
      </c>
      <c r="H49" s="7" t="str">
        <f t="shared" si="2"/>
        <v>Mon</v>
      </c>
    </row>
    <row r="50" spans="1:8" ht="13.2" x14ac:dyDescent="0.25">
      <c r="A50" s="1">
        <v>46153</v>
      </c>
      <c r="B50" s="2" t="s">
        <v>42</v>
      </c>
      <c r="C50" s="3">
        <v>1</v>
      </c>
      <c r="D50" s="4">
        <f t="shared" si="0"/>
        <v>15000</v>
      </c>
      <c r="E50" s="4">
        <v>15000</v>
      </c>
      <c r="F50" s="5"/>
      <c r="G50" s="7" t="str">
        <f t="shared" si="1"/>
        <v>May</v>
      </c>
      <c r="H50" s="7" t="str">
        <f t="shared" si="2"/>
        <v>Mon</v>
      </c>
    </row>
    <row r="51" spans="1:8" ht="13.2" x14ac:dyDescent="0.25">
      <c r="A51" s="1">
        <v>46153</v>
      </c>
      <c r="B51" s="2" t="s">
        <v>10</v>
      </c>
      <c r="C51" s="3">
        <v>1</v>
      </c>
      <c r="D51" s="4">
        <f t="shared" si="0"/>
        <v>15000</v>
      </c>
      <c r="E51" s="4">
        <v>15000</v>
      </c>
      <c r="F51" s="5"/>
      <c r="G51" s="7" t="str">
        <f t="shared" si="1"/>
        <v>May</v>
      </c>
      <c r="H51" s="7" t="str">
        <f t="shared" si="2"/>
        <v>Mon</v>
      </c>
    </row>
    <row r="52" spans="1:8" ht="13.2" x14ac:dyDescent="0.25">
      <c r="A52" s="1">
        <v>46153</v>
      </c>
      <c r="B52" s="2" t="s">
        <v>41</v>
      </c>
      <c r="C52" s="3">
        <v>1</v>
      </c>
      <c r="D52" s="4">
        <f t="shared" si="0"/>
        <v>10000</v>
      </c>
      <c r="E52" s="4">
        <v>10000</v>
      </c>
      <c r="F52" s="5"/>
      <c r="G52" s="7" t="str">
        <f t="shared" si="1"/>
        <v>May</v>
      </c>
      <c r="H52" s="7" t="str">
        <f t="shared" si="2"/>
        <v>Mon</v>
      </c>
    </row>
    <row r="53" spans="1:8" ht="13.2" x14ac:dyDescent="0.25">
      <c r="A53" s="1">
        <v>46154</v>
      </c>
      <c r="B53" s="2" t="s">
        <v>10</v>
      </c>
      <c r="C53" s="3">
        <v>1</v>
      </c>
      <c r="D53" s="4">
        <f t="shared" si="0"/>
        <v>18000</v>
      </c>
      <c r="E53" s="4">
        <v>18000</v>
      </c>
      <c r="F53" s="5"/>
      <c r="G53" s="7" t="str">
        <f t="shared" si="1"/>
        <v>May</v>
      </c>
      <c r="H53" s="7" t="str">
        <f t="shared" si="2"/>
        <v>Tue</v>
      </c>
    </row>
    <row r="54" spans="1:8" ht="13.2" x14ac:dyDescent="0.25">
      <c r="A54" s="1">
        <v>46154</v>
      </c>
      <c r="B54" s="2" t="s">
        <v>96</v>
      </c>
      <c r="C54" s="3">
        <v>1</v>
      </c>
      <c r="D54" s="4">
        <f t="shared" si="0"/>
        <v>85000</v>
      </c>
      <c r="E54" s="4">
        <v>85000</v>
      </c>
      <c r="F54" s="5"/>
      <c r="G54" s="7" t="str">
        <f t="shared" si="1"/>
        <v>May</v>
      </c>
      <c r="H54" s="7" t="str">
        <f t="shared" si="2"/>
        <v>Tue</v>
      </c>
    </row>
    <row r="55" spans="1:8" ht="13.2" x14ac:dyDescent="0.25">
      <c r="A55" s="1">
        <v>46154</v>
      </c>
      <c r="B55" s="2" t="s">
        <v>17</v>
      </c>
      <c r="C55" s="3">
        <v>1</v>
      </c>
      <c r="D55" s="4">
        <f t="shared" si="0"/>
        <v>10000</v>
      </c>
      <c r="E55" s="4">
        <v>10000</v>
      </c>
      <c r="F55" s="5"/>
      <c r="G55" s="7" t="str">
        <f t="shared" si="1"/>
        <v>May</v>
      </c>
      <c r="H55" s="7" t="str">
        <f t="shared" si="2"/>
        <v>Tue</v>
      </c>
    </row>
    <row r="56" spans="1:8" ht="13.2" x14ac:dyDescent="0.25">
      <c r="A56" s="1">
        <v>46154</v>
      </c>
      <c r="B56" s="2" t="s">
        <v>10</v>
      </c>
      <c r="C56" s="3">
        <v>1</v>
      </c>
      <c r="D56" s="4">
        <f t="shared" si="0"/>
        <v>18000</v>
      </c>
      <c r="E56" s="4">
        <v>18000</v>
      </c>
      <c r="F56" s="5"/>
      <c r="G56" s="7" t="str">
        <f t="shared" si="1"/>
        <v>May</v>
      </c>
      <c r="H56" s="7" t="str">
        <f t="shared" si="2"/>
        <v>Tue</v>
      </c>
    </row>
    <row r="57" spans="1:8" ht="13.2" x14ac:dyDescent="0.25">
      <c r="A57" s="1">
        <v>46155</v>
      </c>
      <c r="B57" s="2" t="s">
        <v>17</v>
      </c>
      <c r="C57" s="3">
        <v>1</v>
      </c>
      <c r="D57" s="4">
        <f t="shared" si="0"/>
        <v>10000</v>
      </c>
      <c r="E57" s="4">
        <v>10000</v>
      </c>
      <c r="F57" s="5"/>
      <c r="G57" s="7" t="str">
        <f t="shared" si="1"/>
        <v>May</v>
      </c>
      <c r="H57" s="7" t="str">
        <f t="shared" si="2"/>
        <v>Wed</v>
      </c>
    </row>
    <row r="58" spans="1:8" ht="13.2" x14ac:dyDescent="0.25">
      <c r="A58" s="1">
        <v>46155</v>
      </c>
      <c r="B58" s="2" t="s">
        <v>20</v>
      </c>
      <c r="C58" s="3">
        <v>1</v>
      </c>
      <c r="D58" s="4">
        <f t="shared" si="0"/>
        <v>20000</v>
      </c>
      <c r="E58" s="4">
        <v>20000</v>
      </c>
      <c r="F58" s="5"/>
      <c r="G58" s="7" t="str">
        <f t="shared" si="1"/>
        <v>May</v>
      </c>
      <c r="H58" s="7" t="str">
        <f t="shared" si="2"/>
        <v>Wed</v>
      </c>
    </row>
    <row r="59" spans="1:8" ht="13.2" x14ac:dyDescent="0.25">
      <c r="A59" s="1">
        <v>46155</v>
      </c>
      <c r="B59" s="2" t="s">
        <v>75</v>
      </c>
      <c r="C59" s="3">
        <v>1</v>
      </c>
      <c r="D59" s="4">
        <f t="shared" si="0"/>
        <v>30000</v>
      </c>
      <c r="E59" s="4">
        <v>30000</v>
      </c>
      <c r="F59" s="5"/>
      <c r="G59" s="7" t="str">
        <f t="shared" si="1"/>
        <v>May</v>
      </c>
      <c r="H59" s="7" t="str">
        <f t="shared" si="2"/>
        <v>Wed</v>
      </c>
    </row>
    <row r="60" spans="1:8" ht="13.2" x14ac:dyDescent="0.25">
      <c r="A60" s="1">
        <v>46155</v>
      </c>
      <c r="B60" s="2" t="s">
        <v>107</v>
      </c>
      <c r="C60" s="3">
        <v>1</v>
      </c>
      <c r="D60" s="4">
        <f t="shared" si="0"/>
        <v>80000</v>
      </c>
      <c r="E60" s="4">
        <v>80000</v>
      </c>
      <c r="F60" s="5" t="s">
        <v>14</v>
      </c>
      <c r="G60" s="7" t="str">
        <f t="shared" si="1"/>
        <v>May</v>
      </c>
      <c r="H60" s="7" t="str">
        <f t="shared" si="2"/>
        <v>Wed</v>
      </c>
    </row>
    <row r="61" spans="1:8" ht="13.2" x14ac:dyDescent="0.25">
      <c r="A61" s="1">
        <v>46155</v>
      </c>
      <c r="B61" s="2" t="s">
        <v>108</v>
      </c>
      <c r="C61" s="3">
        <v>1</v>
      </c>
      <c r="D61" s="4">
        <f t="shared" si="0"/>
        <v>130000</v>
      </c>
      <c r="E61" s="4">
        <v>130000</v>
      </c>
      <c r="F61" s="5"/>
      <c r="G61" s="7" t="str">
        <f t="shared" si="1"/>
        <v>May</v>
      </c>
      <c r="H61" s="7" t="str">
        <f t="shared" si="2"/>
        <v>Wed</v>
      </c>
    </row>
    <row r="62" spans="1:8" ht="13.2" x14ac:dyDescent="0.25">
      <c r="A62" s="1">
        <v>46155</v>
      </c>
      <c r="B62" s="2" t="s">
        <v>111</v>
      </c>
      <c r="C62" s="3">
        <v>1</v>
      </c>
      <c r="D62" s="4">
        <f t="shared" si="0"/>
        <v>15000</v>
      </c>
      <c r="E62" s="4">
        <v>15000</v>
      </c>
      <c r="F62" s="5"/>
      <c r="G62" s="7" t="str">
        <f t="shared" si="1"/>
        <v>May</v>
      </c>
      <c r="H62" s="7" t="str">
        <f t="shared" si="2"/>
        <v>Wed</v>
      </c>
    </row>
    <row r="63" spans="1:8" ht="13.2" x14ac:dyDescent="0.25">
      <c r="A63" s="1">
        <v>46155</v>
      </c>
      <c r="B63" s="2" t="s">
        <v>85</v>
      </c>
      <c r="C63" s="3">
        <v>1</v>
      </c>
      <c r="D63" s="4">
        <f t="shared" si="0"/>
        <v>10000</v>
      </c>
      <c r="E63" s="4">
        <v>10000</v>
      </c>
      <c r="F63" s="5"/>
      <c r="G63" s="7" t="str">
        <f t="shared" si="1"/>
        <v>May</v>
      </c>
      <c r="H63" s="7" t="str">
        <f t="shared" si="2"/>
        <v>Wed</v>
      </c>
    </row>
    <row r="64" spans="1:8" ht="13.2" x14ac:dyDescent="0.25">
      <c r="A64" s="1">
        <v>46155</v>
      </c>
      <c r="B64" s="2" t="s">
        <v>114</v>
      </c>
      <c r="C64" s="3">
        <v>1</v>
      </c>
      <c r="D64" s="4">
        <f t="shared" si="0"/>
        <v>15000</v>
      </c>
      <c r="E64" s="4">
        <v>15000</v>
      </c>
      <c r="F64" s="5"/>
      <c r="G64" s="7" t="str">
        <f t="shared" si="1"/>
        <v>May</v>
      </c>
      <c r="H64" s="7" t="str">
        <f t="shared" si="2"/>
        <v>Wed</v>
      </c>
    </row>
    <row r="65" spans="1:8" ht="13.2" x14ac:dyDescent="0.25">
      <c r="A65" s="1">
        <v>46155</v>
      </c>
      <c r="B65" s="2" t="s">
        <v>103</v>
      </c>
      <c r="C65" s="3">
        <v>1</v>
      </c>
      <c r="D65" s="4">
        <f t="shared" si="0"/>
        <v>12000</v>
      </c>
      <c r="E65" s="4">
        <v>12000</v>
      </c>
      <c r="F65" s="5"/>
      <c r="G65" s="7" t="str">
        <f t="shared" si="1"/>
        <v>May</v>
      </c>
      <c r="H65" s="7" t="str">
        <f t="shared" si="2"/>
        <v>Wed</v>
      </c>
    </row>
    <row r="66" spans="1:8" ht="13.2" x14ac:dyDescent="0.25">
      <c r="A66" s="1">
        <v>46155</v>
      </c>
      <c r="B66" s="2" t="s">
        <v>101</v>
      </c>
      <c r="C66" s="3">
        <v>1</v>
      </c>
      <c r="D66" s="4">
        <f t="shared" si="0"/>
        <v>17000</v>
      </c>
      <c r="E66" s="4">
        <v>17000</v>
      </c>
      <c r="F66" s="5"/>
      <c r="G66" s="7" t="str">
        <f t="shared" si="1"/>
        <v>May</v>
      </c>
      <c r="H66" s="7" t="str">
        <f t="shared" si="2"/>
        <v>Wed</v>
      </c>
    </row>
    <row r="67" spans="1:8" ht="13.2" x14ac:dyDescent="0.25">
      <c r="A67" s="1">
        <v>46156</v>
      </c>
      <c r="B67" s="2" t="s">
        <v>40</v>
      </c>
      <c r="C67" s="3">
        <v>2</v>
      </c>
      <c r="D67" s="4">
        <f t="shared" si="0"/>
        <v>5000</v>
      </c>
      <c r="E67" s="4">
        <v>10000</v>
      </c>
      <c r="F67" s="5"/>
      <c r="G67" s="7" t="str">
        <f t="shared" si="1"/>
        <v>May</v>
      </c>
      <c r="H67" s="7" t="str">
        <f t="shared" si="2"/>
        <v>Thu</v>
      </c>
    </row>
    <row r="68" spans="1:8" ht="13.2" x14ac:dyDescent="0.25">
      <c r="A68" s="1">
        <v>46156</v>
      </c>
      <c r="B68" s="2" t="s">
        <v>122</v>
      </c>
      <c r="C68" s="3">
        <v>1</v>
      </c>
      <c r="D68" s="4">
        <f t="shared" si="0"/>
        <v>25000</v>
      </c>
      <c r="E68" s="4">
        <v>25000</v>
      </c>
      <c r="F68" s="5"/>
      <c r="G68" s="7" t="str">
        <f t="shared" si="1"/>
        <v>May</v>
      </c>
      <c r="H68" s="7" t="str">
        <f t="shared" si="2"/>
        <v>Thu</v>
      </c>
    </row>
    <row r="69" spans="1:8" ht="13.2" x14ac:dyDescent="0.25">
      <c r="A69" s="1">
        <v>46156</v>
      </c>
      <c r="B69" s="2" t="s">
        <v>59</v>
      </c>
      <c r="C69" s="3">
        <v>1</v>
      </c>
      <c r="D69" s="4">
        <f t="shared" si="0"/>
        <v>25000</v>
      </c>
      <c r="E69" s="4">
        <v>25000</v>
      </c>
      <c r="F69" s="5"/>
      <c r="G69" s="7" t="str">
        <f t="shared" si="1"/>
        <v>May</v>
      </c>
      <c r="H69" s="7" t="str">
        <f t="shared" si="2"/>
        <v>Thu</v>
      </c>
    </row>
    <row r="70" spans="1:8" ht="13.2" x14ac:dyDescent="0.25">
      <c r="A70" s="1">
        <v>46156</v>
      </c>
      <c r="B70" s="2" t="s">
        <v>67</v>
      </c>
      <c r="C70" s="3">
        <v>1</v>
      </c>
      <c r="D70" s="4">
        <f t="shared" si="0"/>
        <v>125000</v>
      </c>
      <c r="E70" s="4">
        <v>125000</v>
      </c>
      <c r="F70" s="5"/>
      <c r="G70" s="7" t="str">
        <f t="shared" si="1"/>
        <v>May</v>
      </c>
      <c r="H70" s="7" t="str">
        <f t="shared" si="2"/>
        <v>Thu</v>
      </c>
    </row>
    <row r="71" spans="1:8" ht="13.2" x14ac:dyDescent="0.25">
      <c r="A71" s="1">
        <v>46156</v>
      </c>
      <c r="B71" s="2" t="s">
        <v>103</v>
      </c>
      <c r="C71" s="3">
        <v>1</v>
      </c>
      <c r="D71" s="4">
        <f t="shared" si="0"/>
        <v>15000</v>
      </c>
      <c r="E71" s="4">
        <v>15000</v>
      </c>
      <c r="F71" s="5"/>
      <c r="G71" s="7" t="str">
        <f t="shared" si="1"/>
        <v>May</v>
      </c>
      <c r="H71" s="7" t="str">
        <f t="shared" si="2"/>
        <v>Thu</v>
      </c>
    </row>
    <row r="72" spans="1:8" ht="13.2" x14ac:dyDescent="0.25">
      <c r="A72" s="1">
        <v>46157</v>
      </c>
      <c r="B72" s="2" t="s">
        <v>63</v>
      </c>
      <c r="C72" s="3">
        <v>1</v>
      </c>
      <c r="D72" s="4">
        <f t="shared" si="0"/>
        <v>10000</v>
      </c>
      <c r="E72" s="4">
        <v>10000</v>
      </c>
      <c r="F72" s="5"/>
      <c r="G72" s="7" t="str">
        <f t="shared" si="1"/>
        <v>May</v>
      </c>
      <c r="H72" s="7" t="str">
        <f t="shared" si="2"/>
        <v>Fri</v>
      </c>
    </row>
    <row r="73" spans="1:8" ht="13.2" x14ac:dyDescent="0.25">
      <c r="A73" s="1">
        <v>46157</v>
      </c>
      <c r="B73" s="2" t="s">
        <v>131</v>
      </c>
      <c r="C73" s="3">
        <v>1</v>
      </c>
      <c r="D73" s="4">
        <f t="shared" si="0"/>
        <v>37000</v>
      </c>
      <c r="E73" s="4">
        <v>37000</v>
      </c>
      <c r="F73" s="5"/>
      <c r="G73" s="7" t="str">
        <f t="shared" si="1"/>
        <v>May</v>
      </c>
      <c r="H73" s="7" t="str">
        <f t="shared" si="2"/>
        <v>Fri</v>
      </c>
    </row>
    <row r="74" spans="1:8" ht="13.2" x14ac:dyDescent="0.25">
      <c r="A74" s="1">
        <v>46158</v>
      </c>
      <c r="B74" s="2" t="s">
        <v>21</v>
      </c>
      <c r="C74" s="3">
        <v>1</v>
      </c>
      <c r="D74" s="4">
        <f t="shared" si="0"/>
        <v>52000</v>
      </c>
      <c r="E74" s="4">
        <v>52000</v>
      </c>
      <c r="F74" s="5"/>
      <c r="G74" s="7" t="str">
        <f t="shared" si="1"/>
        <v>May</v>
      </c>
      <c r="H74" s="7" t="str">
        <f t="shared" si="2"/>
        <v>Sat</v>
      </c>
    </row>
    <row r="75" spans="1:8" ht="13.2" x14ac:dyDescent="0.25">
      <c r="A75" s="1">
        <v>46158</v>
      </c>
      <c r="B75" s="2" t="s">
        <v>135</v>
      </c>
      <c r="C75" s="3">
        <v>1</v>
      </c>
      <c r="D75" s="4">
        <f t="shared" si="0"/>
        <v>30000</v>
      </c>
      <c r="E75" s="4">
        <v>30000</v>
      </c>
      <c r="F75" s="5"/>
      <c r="G75" s="7" t="str">
        <f t="shared" si="1"/>
        <v>May</v>
      </c>
      <c r="H75" s="7" t="str">
        <f t="shared" si="2"/>
        <v>Sat</v>
      </c>
    </row>
    <row r="76" spans="1:8" ht="13.2" x14ac:dyDescent="0.25">
      <c r="A76" s="1">
        <v>46158</v>
      </c>
      <c r="B76" s="2" t="s">
        <v>137</v>
      </c>
      <c r="C76" s="3">
        <v>1</v>
      </c>
      <c r="D76" s="4">
        <f t="shared" si="0"/>
        <v>10000</v>
      </c>
      <c r="E76" s="4">
        <v>10000</v>
      </c>
      <c r="F76" s="5"/>
      <c r="G76" s="7" t="str">
        <f t="shared" si="1"/>
        <v>May</v>
      </c>
      <c r="H76" s="7" t="str">
        <f t="shared" si="2"/>
        <v>Sat</v>
      </c>
    </row>
    <row r="77" spans="1:8" ht="13.2" x14ac:dyDescent="0.25">
      <c r="A77" s="1">
        <v>46158</v>
      </c>
      <c r="B77" s="2" t="s">
        <v>17</v>
      </c>
      <c r="C77" s="3">
        <v>1</v>
      </c>
      <c r="D77" s="4">
        <f t="shared" si="0"/>
        <v>10000</v>
      </c>
      <c r="E77" s="4">
        <v>10000</v>
      </c>
      <c r="F77" s="5"/>
      <c r="G77" s="7" t="str">
        <f t="shared" si="1"/>
        <v>May</v>
      </c>
      <c r="H77" s="7" t="str">
        <f t="shared" si="2"/>
        <v>Sat</v>
      </c>
    </row>
    <row r="78" spans="1:8" ht="13.2" x14ac:dyDescent="0.25">
      <c r="A78" s="1">
        <v>46158</v>
      </c>
      <c r="B78" s="2" t="s">
        <v>16</v>
      </c>
      <c r="C78" s="3">
        <v>1</v>
      </c>
      <c r="D78" s="4">
        <f t="shared" si="0"/>
        <v>10000</v>
      </c>
      <c r="E78" s="4">
        <v>10000</v>
      </c>
      <c r="F78" s="5"/>
      <c r="G78" s="7" t="str">
        <f t="shared" si="1"/>
        <v>May</v>
      </c>
      <c r="H78" s="7" t="str">
        <f t="shared" si="2"/>
        <v>Sat</v>
      </c>
    </row>
    <row r="79" spans="1:8" ht="13.2" x14ac:dyDescent="0.25">
      <c r="A79" s="1">
        <v>46158</v>
      </c>
      <c r="B79" s="2" t="s">
        <v>18</v>
      </c>
      <c r="C79" s="3">
        <v>1</v>
      </c>
      <c r="D79" s="4">
        <f t="shared" si="0"/>
        <v>10000</v>
      </c>
      <c r="E79" s="4">
        <v>10000</v>
      </c>
      <c r="F79" s="5"/>
      <c r="G79" s="7" t="str">
        <f t="shared" si="1"/>
        <v>May</v>
      </c>
      <c r="H79" s="7" t="str">
        <f t="shared" si="2"/>
        <v>Sat</v>
      </c>
    </row>
    <row r="80" spans="1:8" ht="13.2" x14ac:dyDescent="0.25">
      <c r="A80" s="1">
        <v>46158</v>
      </c>
      <c r="B80" s="2" t="s">
        <v>140</v>
      </c>
      <c r="C80" s="3">
        <v>1</v>
      </c>
      <c r="D80" s="4">
        <f t="shared" si="0"/>
        <v>10000</v>
      </c>
      <c r="E80" s="4">
        <v>10000</v>
      </c>
      <c r="F80" s="5"/>
      <c r="G80" s="7" t="str">
        <f t="shared" si="1"/>
        <v>May</v>
      </c>
      <c r="H80" s="7" t="str">
        <f t="shared" si="2"/>
        <v>Sat</v>
      </c>
    </row>
    <row r="81" spans="1:8" ht="13.2" x14ac:dyDescent="0.25">
      <c r="A81" s="1">
        <v>46158</v>
      </c>
      <c r="B81" s="2" t="s">
        <v>62</v>
      </c>
      <c r="C81" s="3">
        <v>1</v>
      </c>
      <c r="D81" s="4">
        <f t="shared" si="0"/>
        <v>20000</v>
      </c>
      <c r="E81" s="4">
        <v>20000</v>
      </c>
      <c r="F81" s="5"/>
      <c r="G81" s="7" t="str">
        <f t="shared" si="1"/>
        <v>May</v>
      </c>
      <c r="H81" s="7" t="str">
        <f t="shared" si="2"/>
        <v>Sat</v>
      </c>
    </row>
    <row r="82" spans="1:8" ht="13.2" x14ac:dyDescent="0.25">
      <c r="A82" s="1">
        <v>46158</v>
      </c>
      <c r="B82" s="2" t="s">
        <v>16</v>
      </c>
      <c r="C82" s="3">
        <v>1</v>
      </c>
      <c r="D82" s="4">
        <f t="shared" si="0"/>
        <v>10000</v>
      </c>
      <c r="E82" s="4">
        <v>10000</v>
      </c>
      <c r="F82" s="5"/>
      <c r="G82" s="7" t="str">
        <f t="shared" si="1"/>
        <v>May</v>
      </c>
      <c r="H82" s="7" t="str">
        <f t="shared" si="2"/>
        <v>Sat</v>
      </c>
    </row>
    <row r="83" spans="1:8" ht="13.2" x14ac:dyDescent="0.25">
      <c r="A83" s="1">
        <v>46160</v>
      </c>
      <c r="B83" s="2" t="s">
        <v>149</v>
      </c>
      <c r="C83" s="3">
        <v>2</v>
      </c>
      <c r="D83" s="4">
        <f t="shared" si="0"/>
        <v>5000</v>
      </c>
      <c r="E83" s="4">
        <v>10000</v>
      </c>
      <c r="F83" s="5"/>
      <c r="G83" s="7" t="str">
        <f t="shared" si="1"/>
        <v>May</v>
      </c>
      <c r="H83" s="7" t="str">
        <f t="shared" si="2"/>
        <v>Mon</v>
      </c>
    </row>
    <row r="84" spans="1:8" ht="13.2" x14ac:dyDescent="0.25">
      <c r="A84" s="1">
        <v>46160</v>
      </c>
      <c r="B84" s="2" t="s">
        <v>10</v>
      </c>
      <c r="C84" s="3">
        <v>5</v>
      </c>
      <c r="D84" s="4">
        <f t="shared" si="0"/>
        <v>21000</v>
      </c>
      <c r="E84" s="4">
        <v>105000</v>
      </c>
      <c r="F84" s="5"/>
      <c r="G84" s="7" t="str">
        <f t="shared" si="1"/>
        <v>May</v>
      </c>
      <c r="H84" s="7" t="str">
        <f t="shared" si="2"/>
        <v>Mon</v>
      </c>
    </row>
    <row r="85" spans="1:8" ht="13.2" x14ac:dyDescent="0.25">
      <c r="A85" s="1">
        <v>46160</v>
      </c>
      <c r="B85" s="2" t="s">
        <v>45</v>
      </c>
      <c r="C85" s="3">
        <v>7</v>
      </c>
      <c r="D85" s="4">
        <f t="shared" si="0"/>
        <v>5000</v>
      </c>
      <c r="E85" s="4">
        <v>35000</v>
      </c>
      <c r="F85" s="5"/>
      <c r="G85" s="7" t="str">
        <f t="shared" si="1"/>
        <v>May</v>
      </c>
      <c r="H85" s="7" t="str">
        <f t="shared" si="2"/>
        <v>Mon</v>
      </c>
    </row>
    <row r="86" spans="1:8" ht="13.2" x14ac:dyDescent="0.25">
      <c r="A86" s="1">
        <v>46160</v>
      </c>
      <c r="B86" s="2" t="s">
        <v>154</v>
      </c>
      <c r="C86" s="3">
        <v>1</v>
      </c>
      <c r="D86" s="4">
        <f t="shared" si="0"/>
        <v>20000</v>
      </c>
      <c r="E86" s="4">
        <v>20000</v>
      </c>
      <c r="F86" s="5"/>
      <c r="G86" s="7" t="str">
        <f t="shared" si="1"/>
        <v>May</v>
      </c>
      <c r="H86" s="7" t="str">
        <f t="shared" si="2"/>
        <v>Mon</v>
      </c>
    </row>
    <row r="87" spans="1:8" ht="13.2" x14ac:dyDescent="0.25">
      <c r="A87" s="1">
        <v>46160</v>
      </c>
      <c r="B87" s="2" t="s">
        <v>31</v>
      </c>
      <c r="C87" s="3">
        <v>1</v>
      </c>
      <c r="D87" s="4">
        <f t="shared" si="0"/>
        <v>40000</v>
      </c>
      <c r="E87" s="4">
        <v>40000</v>
      </c>
      <c r="F87" s="5"/>
      <c r="G87" s="7" t="str">
        <f t="shared" si="1"/>
        <v>May</v>
      </c>
      <c r="H87" s="7" t="str">
        <f t="shared" si="2"/>
        <v>Mon</v>
      </c>
    </row>
    <row r="88" spans="1:8" ht="13.2" x14ac:dyDescent="0.25">
      <c r="A88" s="1">
        <v>46160</v>
      </c>
      <c r="B88" s="2" t="s">
        <v>159</v>
      </c>
      <c r="C88" s="3">
        <v>2</v>
      </c>
      <c r="D88" s="4">
        <f t="shared" si="0"/>
        <v>40000</v>
      </c>
      <c r="E88" s="4">
        <v>80000</v>
      </c>
      <c r="F88" s="5"/>
      <c r="G88" s="7" t="str">
        <f t="shared" si="1"/>
        <v>May</v>
      </c>
      <c r="H88" s="7" t="str">
        <f t="shared" si="2"/>
        <v>Mon</v>
      </c>
    </row>
    <row r="89" spans="1:8" ht="13.2" x14ac:dyDescent="0.25">
      <c r="A89" s="1">
        <v>46160</v>
      </c>
      <c r="B89" s="2" t="s">
        <v>87</v>
      </c>
      <c r="C89" s="3">
        <v>1</v>
      </c>
      <c r="D89" s="4">
        <f t="shared" si="0"/>
        <v>30000</v>
      </c>
      <c r="E89" s="4">
        <v>30000</v>
      </c>
      <c r="F89" s="5"/>
      <c r="G89" s="7" t="str">
        <f t="shared" si="1"/>
        <v>May</v>
      </c>
      <c r="H89" s="7" t="str">
        <f t="shared" si="2"/>
        <v>Mon</v>
      </c>
    </row>
    <row r="90" spans="1:8" ht="13.2" x14ac:dyDescent="0.25">
      <c r="A90" s="1">
        <v>46160</v>
      </c>
      <c r="B90" s="2" t="s">
        <v>26</v>
      </c>
      <c r="C90" s="3">
        <v>1</v>
      </c>
      <c r="D90" s="4">
        <f t="shared" si="0"/>
        <v>45000</v>
      </c>
      <c r="E90" s="4">
        <v>45000</v>
      </c>
      <c r="F90" s="5"/>
      <c r="G90" s="7" t="str">
        <f t="shared" si="1"/>
        <v>May</v>
      </c>
      <c r="H90" s="7" t="str">
        <f t="shared" si="2"/>
        <v>Mon</v>
      </c>
    </row>
    <row r="91" spans="1:8" ht="13.2" x14ac:dyDescent="0.25">
      <c r="A91" s="1">
        <v>46160</v>
      </c>
      <c r="B91" s="2" t="s">
        <v>28</v>
      </c>
      <c r="C91" s="3">
        <v>1</v>
      </c>
      <c r="D91" s="4">
        <f t="shared" si="0"/>
        <v>30000</v>
      </c>
      <c r="E91" s="4">
        <v>30000</v>
      </c>
      <c r="F91" s="5"/>
      <c r="G91" s="7" t="str">
        <f t="shared" si="1"/>
        <v>May</v>
      </c>
      <c r="H91" s="7" t="str">
        <f t="shared" si="2"/>
        <v>Mon</v>
      </c>
    </row>
    <row r="92" spans="1:8" ht="13.2" x14ac:dyDescent="0.25">
      <c r="A92" s="1">
        <v>46160</v>
      </c>
      <c r="B92" s="2" t="s">
        <v>74</v>
      </c>
      <c r="C92" s="3">
        <v>2</v>
      </c>
      <c r="D92" s="4">
        <f t="shared" si="0"/>
        <v>10000</v>
      </c>
      <c r="E92" s="4">
        <v>20000</v>
      </c>
      <c r="F92" s="5"/>
      <c r="G92" s="7" t="str">
        <f t="shared" si="1"/>
        <v>May</v>
      </c>
      <c r="H92" s="7" t="str">
        <f t="shared" si="2"/>
        <v>Mon</v>
      </c>
    </row>
    <row r="93" spans="1:8" ht="13.2" x14ac:dyDescent="0.25">
      <c r="A93" s="1">
        <v>46161</v>
      </c>
      <c r="B93" s="2" t="s">
        <v>166</v>
      </c>
      <c r="C93" s="3">
        <v>1</v>
      </c>
      <c r="D93" s="4">
        <f t="shared" si="0"/>
        <v>20000</v>
      </c>
      <c r="E93" s="4">
        <v>20000</v>
      </c>
      <c r="F93" s="5"/>
      <c r="G93" s="7" t="str">
        <f t="shared" si="1"/>
        <v>May</v>
      </c>
      <c r="H93" s="7" t="str">
        <f t="shared" si="2"/>
        <v>Tue</v>
      </c>
    </row>
    <row r="94" spans="1:8" ht="13.2" x14ac:dyDescent="0.25">
      <c r="A94" s="1">
        <v>46162</v>
      </c>
      <c r="B94" s="2" t="s">
        <v>168</v>
      </c>
      <c r="C94" s="3">
        <v>1</v>
      </c>
      <c r="D94" s="4">
        <f t="shared" si="0"/>
        <v>42000</v>
      </c>
      <c r="E94" s="4">
        <v>42000</v>
      </c>
      <c r="F94" s="5"/>
      <c r="G94" s="7" t="str">
        <f t="shared" si="1"/>
        <v>May</v>
      </c>
      <c r="H94" s="7" t="str">
        <f t="shared" si="2"/>
        <v>Wed</v>
      </c>
    </row>
    <row r="95" spans="1:8" ht="13.2" x14ac:dyDescent="0.25">
      <c r="A95" s="1">
        <v>46162</v>
      </c>
      <c r="B95" s="2" t="s">
        <v>34</v>
      </c>
      <c r="C95" s="3">
        <v>1</v>
      </c>
      <c r="D95" s="4">
        <f t="shared" si="0"/>
        <v>115000</v>
      </c>
      <c r="E95" s="4">
        <v>115000</v>
      </c>
      <c r="F95" s="5" t="s">
        <v>14</v>
      </c>
      <c r="G95" s="7" t="str">
        <f t="shared" si="1"/>
        <v>May</v>
      </c>
      <c r="H95" s="7" t="str">
        <f t="shared" si="2"/>
        <v>Wed</v>
      </c>
    </row>
    <row r="96" spans="1:8" ht="13.2" x14ac:dyDescent="0.25">
      <c r="A96" s="1">
        <v>46162</v>
      </c>
      <c r="B96" s="2" t="s">
        <v>128</v>
      </c>
      <c r="C96" s="3">
        <v>1</v>
      </c>
      <c r="D96" s="4">
        <f t="shared" si="0"/>
        <v>65000</v>
      </c>
      <c r="E96" s="4">
        <v>65000</v>
      </c>
      <c r="F96" s="5"/>
      <c r="G96" s="7" t="str">
        <f t="shared" si="1"/>
        <v>May</v>
      </c>
      <c r="H96" s="7" t="str">
        <f t="shared" si="2"/>
        <v>Wed</v>
      </c>
    </row>
    <row r="97" spans="1:8" ht="13.2" x14ac:dyDescent="0.25">
      <c r="A97" s="1">
        <v>46162</v>
      </c>
      <c r="B97" s="2" t="s">
        <v>89</v>
      </c>
      <c r="C97" s="3">
        <v>2</v>
      </c>
      <c r="D97" s="4">
        <f t="shared" si="0"/>
        <v>25000</v>
      </c>
      <c r="E97" s="4">
        <v>50000</v>
      </c>
      <c r="F97" s="5"/>
      <c r="G97" s="7" t="str">
        <f t="shared" si="1"/>
        <v>May</v>
      </c>
      <c r="H97" s="7" t="str">
        <f t="shared" si="2"/>
        <v>Wed</v>
      </c>
    </row>
    <row r="98" spans="1:8" ht="13.2" x14ac:dyDescent="0.25">
      <c r="A98" s="1">
        <v>46162</v>
      </c>
      <c r="B98" s="2" t="s">
        <v>175</v>
      </c>
      <c r="C98" s="3">
        <v>1</v>
      </c>
      <c r="D98" s="4">
        <f t="shared" si="0"/>
        <v>35000</v>
      </c>
      <c r="E98" s="4">
        <v>35000</v>
      </c>
      <c r="F98" s="5"/>
      <c r="G98" s="7" t="str">
        <f t="shared" si="1"/>
        <v>May</v>
      </c>
      <c r="H98" s="7" t="str">
        <f t="shared" si="2"/>
        <v>Wed</v>
      </c>
    </row>
    <row r="99" spans="1:8" ht="13.2" x14ac:dyDescent="0.25">
      <c r="A99" s="1">
        <v>46162</v>
      </c>
      <c r="B99" s="2" t="s">
        <v>176</v>
      </c>
      <c r="C99" s="3">
        <v>1</v>
      </c>
      <c r="D99" s="4">
        <f t="shared" si="0"/>
        <v>22500</v>
      </c>
      <c r="E99" s="4">
        <v>22500</v>
      </c>
      <c r="F99" s="5"/>
      <c r="G99" s="7" t="str">
        <f t="shared" si="1"/>
        <v>May</v>
      </c>
      <c r="H99" s="7" t="str">
        <f t="shared" si="2"/>
        <v>Wed</v>
      </c>
    </row>
    <row r="100" spans="1:8" ht="13.2" x14ac:dyDescent="0.25">
      <c r="A100" s="1">
        <v>46162</v>
      </c>
      <c r="B100" s="2" t="s">
        <v>179</v>
      </c>
      <c r="C100" s="3">
        <v>1</v>
      </c>
      <c r="D100" s="4">
        <f t="shared" si="0"/>
        <v>40000</v>
      </c>
      <c r="E100" s="4">
        <v>40000</v>
      </c>
      <c r="F100" s="5"/>
      <c r="G100" s="7" t="str">
        <f t="shared" si="1"/>
        <v>May</v>
      </c>
      <c r="H100" s="7" t="str">
        <f t="shared" si="2"/>
        <v>Wed</v>
      </c>
    </row>
    <row r="101" spans="1:8" ht="13.2" x14ac:dyDescent="0.25">
      <c r="A101" s="1">
        <v>46162</v>
      </c>
      <c r="B101" s="2" t="s">
        <v>71</v>
      </c>
      <c r="C101" s="3">
        <v>1</v>
      </c>
      <c r="D101" s="4">
        <f t="shared" si="0"/>
        <v>30000</v>
      </c>
      <c r="E101" s="4">
        <v>30000</v>
      </c>
      <c r="F101" s="5"/>
      <c r="G101" s="7" t="str">
        <f t="shared" si="1"/>
        <v>May</v>
      </c>
      <c r="H101" s="7" t="str">
        <f t="shared" si="2"/>
        <v>Wed</v>
      </c>
    </row>
    <row r="102" spans="1:8" ht="13.2" x14ac:dyDescent="0.25">
      <c r="A102" s="1">
        <v>46162</v>
      </c>
      <c r="B102" s="2" t="s">
        <v>126</v>
      </c>
      <c r="C102" s="3">
        <v>1</v>
      </c>
      <c r="D102" s="4">
        <f t="shared" si="0"/>
        <v>70000</v>
      </c>
      <c r="E102" s="4">
        <v>70000</v>
      </c>
      <c r="F102" s="5"/>
      <c r="G102" s="7" t="str">
        <f t="shared" si="1"/>
        <v>May</v>
      </c>
      <c r="H102" s="7" t="str">
        <f t="shared" si="2"/>
        <v>Wed</v>
      </c>
    </row>
    <row r="103" spans="1:8" ht="13.2" x14ac:dyDescent="0.25">
      <c r="A103" s="1">
        <v>46162</v>
      </c>
      <c r="B103" s="2" t="s">
        <v>160</v>
      </c>
      <c r="C103" s="3">
        <v>1</v>
      </c>
      <c r="D103" s="4">
        <f t="shared" si="0"/>
        <v>135000</v>
      </c>
      <c r="E103" s="4">
        <v>135000</v>
      </c>
      <c r="F103" s="5"/>
      <c r="G103" s="7" t="str">
        <f t="shared" si="1"/>
        <v>May</v>
      </c>
      <c r="H103" s="7" t="str">
        <f t="shared" si="2"/>
        <v>Wed</v>
      </c>
    </row>
    <row r="104" spans="1:8" ht="13.2" x14ac:dyDescent="0.25">
      <c r="A104" s="1">
        <v>46162</v>
      </c>
      <c r="B104" s="2" t="s">
        <v>186</v>
      </c>
      <c r="C104" s="3">
        <v>1</v>
      </c>
      <c r="D104" s="4">
        <f t="shared" si="0"/>
        <v>180000</v>
      </c>
      <c r="E104" s="4">
        <v>180000</v>
      </c>
      <c r="F104" s="5"/>
      <c r="G104" s="7" t="str">
        <f t="shared" si="1"/>
        <v>May</v>
      </c>
      <c r="H104" s="7" t="str">
        <f t="shared" si="2"/>
        <v>Wed</v>
      </c>
    </row>
    <row r="105" spans="1:8" ht="13.2" x14ac:dyDescent="0.25">
      <c r="A105" s="1">
        <v>46163</v>
      </c>
      <c r="B105" s="2" t="s">
        <v>155</v>
      </c>
      <c r="C105" s="3">
        <v>2</v>
      </c>
      <c r="D105" s="4">
        <f t="shared" si="0"/>
        <v>112000</v>
      </c>
      <c r="E105" s="4">
        <v>224000</v>
      </c>
      <c r="F105" s="5"/>
      <c r="G105" s="7" t="str">
        <f t="shared" si="1"/>
        <v>May</v>
      </c>
      <c r="H105" s="7" t="str">
        <f t="shared" si="2"/>
        <v>Thu</v>
      </c>
    </row>
    <row r="106" spans="1:8" ht="13.2" x14ac:dyDescent="0.25">
      <c r="A106" s="1">
        <v>46163</v>
      </c>
      <c r="B106" s="2" t="s">
        <v>191</v>
      </c>
      <c r="C106" s="3">
        <v>1</v>
      </c>
      <c r="D106" s="4">
        <f t="shared" si="0"/>
        <v>50000</v>
      </c>
      <c r="E106" s="4">
        <v>50000</v>
      </c>
      <c r="F106" s="5"/>
      <c r="G106" s="7" t="str">
        <f t="shared" si="1"/>
        <v>May</v>
      </c>
      <c r="H106" s="7" t="str">
        <f t="shared" si="2"/>
        <v>Thu</v>
      </c>
    </row>
    <row r="107" spans="1:8" ht="13.2" x14ac:dyDescent="0.25">
      <c r="A107" s="1">
        <v>46163</v>
      </c>
      <c r="B107" s="2" t="s">
        <v>11</v>
      </c>
      <c r="C107" s="3">
        <v>2</v>
      </c>
      <c r="D107" s="4">
        <f t="shared" si="0"/>
        <v>25000</v>
      </c>
      <c r="E107" s="4">
        <v>50000</v>
      </c>
      <c r="F107" s="5"/>
      <c r="G107" s="7" t="str">
        <f t="shared" si="1"/>
        <v>May</v>
      </c>
      <c r="H107" s="7" t="str">
        <f t="shared" si="2"/>
        <v>Thu</v>
      </c>
    </row>
    <row r="108" spans="1:8" ht="13.2" x14ac:dyDescent="0.25">
      <c r="A108" s="1">
        <v>46163</v>
      </c>
      <c r="B108" s="2" t="s">
        <v>147</v>
      </c>
      <c r="C108" s="3">
        <v>1</v>
      </c>
      <c r="D108" s="4">
        <f t="shared" si="0"/>
        <v>15000</v>
      </c>
      <c r="E108" s="4">
        <v>15000</v>
      </c>
      <c r="F108" s="5"/>
      <c r="G108" s="7" t="str">
        <f t="shared" si="1"/>
        <v>May</v>
      </c>
      <c r="H108" s="7" t="str">
        <f t="shared" si="2"/>
        <v>Thu</v>
      </c>
    </row>
    <row r="109" spans="1:8" ht="13.2" x14ac:dyDescent="0.25">
      <c r="A109" s="1">
        <v>46163</v>
      </c>
      <c r="B109" s="2" t="s">
        <v>194</v>
      </c>
      <c r="C109" s="3">
        <v>2</v>
      </c>
      <c r="D109" s="4">
        <f t="shared" si="0"/>
        <v>15000</v>
      </c>
      <c r="E109" s="4">
        <v>30000</v>
      </c>
      <c r="F109" s="5"/>
      <c r="G109" s="7" t="str">
        <f t="shared" si="1"/>
        <v>May</v>
      </c>
      <c r="H109" s="7" t="str">
        <f t="shared" si="2"/>
        <v>Thu</v>
      </c>
    </row>
    <row r="110" spans="1:8" ht="13.2" x14ac:dyDescent="0.25">
      <c r="A110" s="1">
        <v>46163</v>
      </c>
      <c r="B110" s="2" t="s">
        <v>109</v>
      </c>
      <c r="C110" s="3">
        <v>1</v>
      </c>
      <c r="D110" s="4">
        <f t="shared" si="0"/>
        <v>42000</v>
      </c>
      <c r="E110" s="4">
        <v>42000</v>
      </c>
      <c r="F110" s="5"/>
      <c r="G110" s="7" t="str">
        <f t="shared" si="1"/>
        <v>May</v>
      </c>
      <c r="H110" s="7" t="str">
        <f t="shared" si="2"/>
        <v>Thu</v>
      </c>
    </row>
    <row r="111" spans="1:8" ht="13.2" x14ac:dyDescent="0.25">
      <c r="A111" s="1">
        <v>46163</v>
      </c>
      <c r="B111" s="2" t="s">
        <v>195</v>
      </c>
      <c r="C111" s="3">
        <v>2</v>
      </c>
      <c r="D111" s="4">
        <f t="shared" si="0"/>
        <v>15000</v>
      </c>
      <c r="E111" s="4">
        <v>30000</v>
      </c>
      <c r="F111" s="5"/>
      <c r="G111" s="7" t="str">
        <f t="shared" si="1"/>
        <v>May</v>
      </c>
      <c r="H111" s="7" t="str">
        <f t="shared" si="2"/>
        <v>Thu</v>
      </c>
    </row>
    <row r="112" spans="1:8" ht="13.2" x14ac:dyDescent="0.25">
      <c r="A112" s="1">
        <v>46163</v>
      </c>
      <c r="B112" s="2" t="s">
        <v>38</v>
      </c>
      <c r="C112" s="3">
        <v>1</v>
      </c>
      <c r="D112" s="4">
        <f t="shared" si="0"/>
        <v>45000</v>
      </c>
      <c r="E112" s="4">
        <v>45000</v>
      </c>
      <c r="F112" s="5"/>
      <c r="G112" s="7" t="str">
        <f t="shared" si="1"/>
        <v>May</v>
      </c>
      <c r="H112" s="7" t="str">
        <f t="shared" si="2"/>
        <v>Thu</v>
      </c>
    </row>
    <row r="113" spans="1:8" ht="13.2" x14ac:dyDescent="0.25">
      <c r="A113" s="1">
        <v>46164</v>
      </c>
      <c r="B113" s="2" t="s">
        <v>59</v>
      </c>
      <c r="C113" s="3">
        <v>1</v>
      </c>
      <c r="D113" s="4">
        <f t="shared" si="0"/>
        <v>25000</v>
      </c>
      <c r="E113" s="4">
        <v>25000</v>
      </c>
      <c r="F113" s="5"/>
      <c r="G113" s="7" t="str">
        <f t="shared" si="1"/>
        <v>May</v>
      </c>
      <c r="H113" s="7" t="str">
        <f t="shared" si="2"/>
        <v>Fri</v>
      </c>
    </row>
    <row r="114" spans="1:8" ht="13.2" x14ac:dyDescent="0.25">
      <c r="A114" s="1">
        <v>46164</v>
      </c>
      <c r="B114" s="2" t="s">
        <v>10</v>
      </c>
      <c r="C114" s="3">
        <v>1</v>
      </c>
      <c r="D114" s="4">
        <f t="shared" si="0"/>
        <v>25000</v>
      </c>
      <c r="E114" s="4">
        <v>25000</v>
      </c>
      <c r="F114" s="5"/>
      <c r="G114" s="7" t="str">
        <f t="shared" si="1"/>
        <v>May</v>
      </c>
      <c r="H114" s="7" t="str">
        <f t="shared" si="2"/>
        <v>Fri</v>
      </c>
    </row>
    <row r="115" spans="1:8" ht="13.2" x14ac:dyDescent="0.25">
      <c r="A115" s="1">
        <v>46164</v>
      </c>
      <c r="B115" s="2" t="s">
        <v>173</v>
      </c>
      <c r="C115" s="3">
        <v>2</v>
      </c>
      <c r="D115" s="4">
        <f t="shared" si="0"/>
        <v>5000</v>
      </c>
      <c r="E115" s="4">
        <v>10000</v>
      </c>
      <c r="F115" s="5"/>
      <c r="G115" s="7" t="str">
        <f t="shared" si="1"/>
        <v>May</v>
      </c>
      <c r="H115" s="7" t="str">
        <f t="shared" si="2"/>
        <v>Fri</v>
      </c>
    </row>
    <row r="116" spans="1:8" ht="13.2" x14ac:dyDescent="0.25">
      <c r="A116" s="1">
        <v>46164</v>
      </c>
      <c r="B116" s="2" t="s">
        <v>10</v>
      </c>
      <c r="C116" s="3">
        <v>1</v>
      </c>
      <c r="D116" s="4">
        <f t="shared" si="0"/>
        <v>25000</v>
      </c>
      <c r="E116" s="4">
        <v>25000</v>
      </c>
      <c r="F116" s="5"/>
      <c r="G116" s="7" t="str">
        <f t="shared" si="1"/>
        <v>May</v>
      </c>
      <c r="H116" s="7" t="str">
        <f t="shared" si="2"/>
        <v>Fri</v>
      </c>
    </row>
    <row r="117" spans="1:8" ht="13.2" x14ac:dyDescent="0.25">
      <c r="A117" s="1">
        <v>46164</v>
      </c>
      <c r="B117" s="2" t="s">
        <v>205</v>
      </c>
      <c r="C117" s="3">
        <v>1</v>
      </c>
      <c r="D117" s="4">
        <f t="shared" si="0"/>
        <v>35000</v>
      </c>
      <c r="E117" s="4">
        <v>35000</v>
      </c>
      <c r="F117" s="5"/>
      <c r="G117" s="7" t="str">
        <f t="shared" si="1"/>
        <v>May</v>
      </c>
      <c r="H117" s="7" t="str">
        <f t="shared" si="2"/>
        <v>Fri</v>
      </c>
    </row>
    <row r="118" spans="1:8" ht="13.2" x14ac:dyDescent="0.25">
      <c r="A118" s="1">
        <v>46165</v>
      </c>
      <c r="B118" s="2" t="s">
        <v>151</v>
      </c>
      <c r="C118" s="3">
        <v>1</v>
      </c>
      <c r="D118" s="4">
        <f t="shared" si="0"/>
        <v>32000</v>
      </c>
      <c r="E118" s="4">
        <v>32000</v>
      </c>
      <c r="F118" s="5"/>
      <c r="G118" s="7" t="str">
        <f t="shared" si="1"/>
        <v>May</v>
      </c>
      <c r="H118" s="7" t="str">
        <f t="shared" si="2"/>
        <v>Sat</v>
      </c>
    </row>
    <row r="119" spans="1:8" ht="13.2" x14ac:dyDescent="0.25">
      <c r="A119" s="1">
        <v>46165</v>
      </c>
      <c r="B119" s="2" t="s">
        <v>93</v>
      </c>
      <c r="C119" s="3">
        <v>1</v>
      </c>
      <c r="D119" s="4">
        <f t="shared" si="0"/>
        <v>10000</v>
      </c>
      <c r="E119" s="4">
        <v>10000</v>
      </c>
      <c r="F119" s="5"/>
      <c r="G119" s="7" t="str">
        <f t="shared" si="1"/>
        <v>May</v>
      </c>
      <c r="H119" s="7" t="str">
        <f t="shared" si="2"/>
        <v>Sat</v>
      </c>
    </row>
    <row r="120" spans="1:8" ht="13.2" x14ac:dyDescent="0.25">
      <c r="A120" s="1">
        <v>46165</v>
      </c>
      <c r="B120" s="2" t="s">
        <v>206</v>
      </c>
      <c r="C120" s="3">
        <v>1</v>
      </c>
      <c r="D120" s="4">
        <f t="shared" si="0"/>
        <v>53000</v>
      </c>
      <c r="E120" s="4">
        <v>53000</v>
      </c>
      <c r="F120" s="5"/>
      <c r="G120" s="7" t="str">
        <f t="shared" si="1"/>
        <v>May</v>
      </c>
      <c r="H120" s="7" t="str">
        <f t="shared" si="2"/>
        <v>Sat</v>
      </c>
    </row>
    <row r="121" spans="1:8" ht="13.2" x14ac:dyDescent="0.25">
      <c r="A121" s="1">
        <v>46165</v>
      </c>
      <c r="B121" s="2" t="s">
        <v>74</v>
      </c>
      <c r="C121" s="3">
        <v>1</v>
      </c>
      <c r="D121" s="4">
        <f t="shared" si="0"/>
        <v>10000</v>
      </c>
      <c r="E121" s="4">
        <v>10000</v>
      </c>
      <c r="F121" s="5"/>
      <c r="G121" s="7" t="str">
        <f t="shared" si="1"/>
        <v>May</v>
      </c>
      <c r="H121" s="7" t="str">
        <f t="shared" si="2"/>
        <v>Sat</v>
      </c>
    </row>
    <row r="122" spans="1:8" ht="13.2" x14ac:dyDescent="0.25">
      <c r="A122" s="1">
        <v>46165</v>
      </c>
      <c r="B122" s="2" t="s">
        <v>194</v>
      </c>
      <c r="C122" s="3">
        <v>1</v>
      </c>
      <c r="D122" s="4">
        <f t="shared" si="0"/>
        <v>15000</v>
      </c>
      <c r="E122" s="4">
        <v>15000</v>
      </c>
      <c r="F122" s="5"/>
      <c r="G122" s="7" t="str">
        <f t="shared" si="1"/>
        <v>May</v>
      </c>
      <c r="H122" s="7" t="str">
        <f t="shared" si="2"/>
        <v>Sat</v>
      </c>
    </row>
    <row r="123" spans="1:8" ht="13.2" x14ac:dyDescent="0.25">
      <c r="A123" s="1">
        <v>46167</v>
      </c>
      <c r="B123" s="2" t="s">
        <v>10</v>
      </c>
      <c r="C123" s="3">
        <v>1</v>
      </c>
      <c r="D123" s="4">
        <f t="shared" si="0"/>
        <v>25000</v>
      </c>
      <c r="E123" s="4">
        <v>25000</v>
      </c>
      <c r="F123" s="5"/>
      <c r="G123" s="7" t="str">
        <f t="shared" si="1"/>
        <v>May</v>
      </c>
      <c r="H123" s="7" t="str">
        <f t="shared" si="2"/>
        <v>Mon</v>
      </c>
    </row>
    <row r="124" spans="1:8" ht="13.2" x14ac:dyDescent="0.25">
      <c r="A124" s="1">
        <v>46172</v>
      </c>
      <c r="B124" s="2" t="s">
        <v>213</v>
      </c>
      <c r="C124" s="3">
        <v>1</v>
      </c>
      <c r="D124" s="4">
        <f t="shared" si="0"/>
        <v>80000</v>
      </c>
      <c r="E124" s="4">
        <v>80000</v>
      </c>
      <c r="F124" s="5"/>
      <c r="G124" s="7" t="str">
        <f t="shared" si="1"/>
        <v>May</v>
      </c>
      <c r="H124" s="7" t="str">
        <f t="shared" si="2"/>
        <v>Sat</v>
      </c>
    </row>
    <row r="125" spans="1:8" ht="13.2" x14ac:dyDescent="0.25">
      <c r="A125" s="1">
        <v>46172</v>
      </c>
      <c r="B125" s="2" t="s">
        <v>16</v>
      </c>
      <c r="C125" s="3">
        <v>1</v>
      </c>
      <c r="D125" s="4">
        <f t="shared" si="0"/>
        <v>10000</v>
      </c>
      <c r="E125" s="4">
        <v>10000</v>
      </c>
      <c r="F125" s="5"/>
      <c r="G125" s="7" t="str">
        <f t="shared" si="1"/>
        <v>May</v>
      </c>
      <c r="H125" s="7" t="str">
        <f t="shared" si="2"/>
        <v>Sat</v>
      </c>
    </row>
    <row r="126" spans="1:8" ht="13.2" x14ac:dyDescent="0.25">
      <c r="A126" s="1">
        <v>46172</v>
      </c>
      <c r="B126" s="2" t="s">
        <v>174</v>
      </c>
      <c r="C126" s="3">
        <v>1</v>
      </c>
      <c r="D126" s="4">
        <f t="shared" si="0"/>
        <v>5000</v>
      </c>
      <c r="E126" s="4">
        <v>5000</v>
      </c>
      <c r="F126" s="5"/>
      <c r="G126" s="7" t="str">
        <f t="shared" si="1"/>
        <v>May</v>
      </c>
      <c r="H126" s="7" t="str">
        <f t="shared" si="2"/>
        <v>Sat</v>
      </c>
    </row>
    <row r="127" spans="1:8" ht="13.2" x14ac:dyDescent="0.25">
      <c r="A127" s="1">
        <v>46172</v>
      </c>
      <c r="B127" s="2" t="s">
        <v>17</v>
      </c>
      <c r="C127" s="3">
        <v>1</v>
      </c>
      <c r="D127" s="4">
        <f t="shared" si="0"/>
        <v>10000</v>
      </c>
      <c r="E127" s="4">
        <v>10000</v>
      </c>
      <c r="F127" s="5"/>
      <c r="G127" s="7" t="str">
        <f t="shared" si="1"/>
        <v>May</v>
      </c>
      <c r="H127" s="7" t="str">
        <f t="shared" si="2"/>
        <v>Sat</v>
      </c>
    </row>
    <row r="128" spans="1:8" ht="13.2" x14ac:dyDescent="0.25">
      <c r="A128" s="1">
        <v>46172</v>
      </c>
      <c r="B128" s="2" t="s">
        <v>24</v>
      </c>
      <c r="C128" s="3">
        <v>1</v>
      </c>
      <c r="D128" s="4">
        <f t="shared" si="0"/>
        <v>15000</v>
      </c>
      <c r="E128" s="4">
        <v>15000</v>
      </c>
      <c r="F128" s="5"/>
      <c r="G128" s="7" t="str">
        <f t="shared" si="1"/>
        <v>May</v>
      </c>
      <c r="H128" s="7" t="str">
        <f t="shared" si="2"/>
        <v>Sat</v>
      </c>
    </row>
    <row r="129" spans="1:8" ht="13.2" x14ac:dyDescent="0.25">
      <c r="A129" s="1">
        <v>46172</v>
      </c>
      <c r="B129" s="2" t="s">
        <v>17</v>
      </c>
      <c r="C129" s="3">
        <v>1</v>
      </c>
      <c r="D129" s="4">
        <f t="shared" si="0"/>
        <v>10000</v>
      </c>
      <c r="E129" s="4">
        <v>10000</v>
      </c>
      <c r="F129" s="5"/>
      <c r="G129" s="7" t="str">
        <f t="shared" si="1"/>
        <v>May</v>
      </c>
      <c r="H129" s="7" t="str">
        <f t="shared" si="2"/>
        <v>Sat</v>
      </c>
    </row>
    <row r="130" spans="1:8" ht="13.2" x14ac:dyDescent="0.25">
      <c r="A130" s="1">
        <v>46172</v>
      </c>
      <c r="B130" s="2" t="s">
        <v>109</v>
      </c>
      <c r="C130" s="3">
        <v>1</v>
      </c>
      <c r="D130" s="4">
        <f t="shared" si="0"/>
        <v>42000</v>
      </c>
      <c r="E130" s="4">
        <v>42000</v>
      </c>
      <c r="F130" s="5"/>
      <c r="G130" s="7" t="str">
        <f t="shared" si="1"/>
        <v>May</v>
      </c>
      <c r="H130" s="7" t="str">
        <f t="shared" si="2"/>
        <v>Sat</v>
      </c>
    </row>
    <row r="131" spans="1:8" ht="13.2" x14ac:dyDescent="0.25">
      <c r="A131" s="1">
        <v>46172</v>
      </c>
      <c r="B131" s="2" t="s">
        <v>220</v>
      </c>
      <c r="C131" s="3">
        <v>1</v>
      </c>
      <c r="D131" s="4">
        <f t="shared" si="0"/>
        <v>15000</v>
      </c>
      <c r="E131" s="4">
        <v>15000</v>
      </c>
      <c r="F131" s="5"/>
      <c r="G131" s="7" t="str">
        <f t="shared" si="1"/>
        <v>May</v>
      </c>
      <c r="H131" s="7" t="str">
        <f t="shared" si="2"/>
        <v>Sat</v>
      </c>
    </row>
    <row r="132" spans="1:8" ht="13.2" x14ac:dyDescent="0.25">
      <c r="A132" s="1">
        <v>46172</v>
      </c>
      <c r="B132" s="2" t="s">
        <v>54</v>
      </c>
      <c r="C132" s="3">
        <v>1</v>
      </c>
      <c r="D132" s="4">
        <f t="shared" si="0"/>
        <v>10000</v>
      </c>
      <c r="E132" s="4">
        <v>10000</v>
      </c>
      <c r="F132" s="5"/>
      <c r="G132" s="7" t="str">
        <f t="shared" si="1"/>
        <v>May</v>
      </c>
      <c r="H132" s="7" t="str">
        <f t="shared" si="2"/>
        <v>Sat</v>
      </c>
    </row>
    <row r="133" spans="1:8" ht="13.2" x14ac:dyDescent="0.25">
      <c r="A133" s="1">
        <v>46172</v>
      </c>
      <c r="B133" s="2" t="s">
        <v>53</v>
      </c>
      <c r="C133" s="3">
        <v>1</v>
      </c>
      <c r="D133" s="4">
        <f t="shared" si="0"/>
        <v>10000</v>
      </c>
      <c r="E133" s="4">
        <v>10000</v>
      </c>
      <c r="F133" s="5"/>
      <c r="G133" s="7" t="str">
        <f t="shared" si="1"/>
        <v>May</v>
      </c>
      <c r="H133" s="7" t="str">
        <f t="shared" si="2"/>
        <v>Sat</v>
      </c>
    </row>
    <row r="134" spans="1:8" ht="13.2" x14ac:dyDescent="0.25">
      <c r="A134" s="1">
        <v>46172</v>
      </c>
      <c r="B134" s="2" t="s">
        <v>63</v>
      </c>
      <c r="C134" s="3">
        <v>1</v>
      </c>
      <c r="D134" s="4">
        <f t="shared" si="0"/>
        <v>10000</v>
      </c>
      <c r="E134" s="4">
        <v>10000</v>
      </c>
      <c r="F134" s="5"/>
      <c r="G134" s="7" t="str">
        <f t="shared" si="1"/>
        <v>May</v>
      </c>
      <c r="H134" s="7" t="str">
        <f t="shared" si="2"/>
        <v>Sat</v>
      </c>
    </row>
    <row r="135" spans="1:8" ht="13.2" x14ac:dyDescent="0.25">
      <c r="A135" s="1">
        <v>46172</v>
      </c>
      <c r="B135" s="2" t="s">
        <v>196</v>
      </c>
      <c r="C135" s="3">
        <v>1</v>
      </c>
      <c r="D135" s="4">
        <f t="shared" si="0"/>
        <v>25000</v>
      </c>
      <c r="E135" s="4">
        <v>25000</v>
      </c>
      <c r="F135" s="5"/>
      <c r="G135" s="7" t="str">
        <f t="shared" si="1"/>
        <v>May</v>
      </c>
      <c r="H135" s="7" t="str">
        <f t="shared" si="2"/>
        <v>Sat</v>
      </c>
    </row>
    <row r="136" spans="1:8" ht="13.2" x14ac:dyDescent="0.25">
      <c r="A136" s="1">
        <v>46172</v>
      </c>
      <c r="B136" s="2" t="s">
        <v>223</v>
      </c>
      <c r="C136" s="3">
        <v>1</v>
      </c>
      <c r="D136" s="4">
        <f t="shared" si="0"/>
        <v>80000</v>
      </c>
      <c r="E136" s="4">
        <v>80000</v>
      </c>
      <c r="F136" s="5"/>
      <c r="G136" s="7" t="str">
        <f t="shared" si="1"/>
        <v>May</v>
      </c>
      <c r="H136" s="7" t="str">
        <f t="shared" si="2"/>
        <v>Sat</v>
      </c>
    </row>
    <row r="137" spans="1:8" ht="13.2" x14ac:dyDescent="0.25">
      <c r="A137" s="1">
        <v>46172</v>
      </c>
      <c r="B137" s="2" t="s">
        <v>199</v>
      </c>
      <c r="C137" s="3">
        <v>1</v>
      </c>
      <c r="D137" s="4">
        <f t="shared" si="0"/>
        <v>175000</v>
      </c>
      <c r="E137" s="4">
        <v>175000</v>
      </c>
      <c r="F137" s="5"/>
      <c r="G137" s="7" t="str">
        <f t="shared" si="1"/>
        <v>May</v>
      </c>
      <c r="H137" s="7" t="str">
        <f t="shared" si="2"/>
        <v>Sat</v>
      </c>
    </row>
    <row r="138" spans="1:8" ht="13.2" x14ac:dyDescent="0.25">
      <c r="A138" s="1">
        <v>46172</v>
      </c>
      <c r="B138" s="2" t="s">
        <v>230</v>
      </c>
      <c r="C138" s="3">
        <v>1</v>
      </c>
      <c r="D138" s="4">
        <f t="shared" si="0"/>
        <v>180000</v>
      </c>
      <c r="E138" s="4">
        <v>180000</v>
      </c>
      <c r="F138" s="5"/>
      <c r="G138" s="7" t="str">
        <f t="shared" si="1"/>
        <v>May</v>
      </c>
      <c r="H138" s="7" t="str">
        <f t="shared" si="2"/>
        <v>Sat</v>
      </c>
    </row>
    <row r="139" spans="1:8" ht="13.2" x14ac:dyDescent="0.25">
      <c r="A139" s="1">
        <v>46172</v>
      </c>
      <c r="B139" s="2" t="s">
        <v>16</v>
      </c>
      <c r="C139" s="3">
        <v>1</v>
      </c>
      <c r="D139" s="4">
        <f t="shared" si="0"/>
        <v>10000</v>
      </c>
      <c r="E139" s="4">
        <v>10000</v>
      </c>
      <c r="F139" s="5"/>
      <c r="G139" s="7" t="str">
        <f t="shared" si="1"/>
        <v>May</v>
      </c>
      <c r="H139" s="7" t="str">
        <f t="shared" si="2"/>
        <v>Sat</v>
      </c>
    </row>
    <row r="140" spans="1:8" ht="13.2" x14ac:dyDescent="0.25">
      <c r="A140" s="1">
        <v>46172</v>
      </c>
      <c r="B140" s="2" t="s">
        <v>62</v>
      </c>
      <c r="C140" s="3">
        <v>1</v>
      </c>
      <c r="D140" s="4">
        <f t="shared" si="0"/>
        <v>20000</v>
      </c>
      <c r="E140" s="4">
        <v>20000</v>
      </c>
      <c r="F140" s="5"/>
      <c r="G140" s="7" t="str">
        <f t="shared" si="1"/>
        <v>May</v>
      </c>
      <c r="H140" s="7" t="str">
        <f t="shared" si="2"/>
        <v>Sat</v>
      </c>
    </row>
    <row r="141" spans="1:8" ht="13.2" x14ac:dyDescent="0.25">
      <c r="A141" s="1">
        <v>46174</v>
      </c>
      <c r="B141" s="2" t="s">
        <v>89</v>
      </c>
      <c r="C141" s="3">
        <v>1</v>
      </c>
      <c r="D141" s="4">
        <f t="shared" si="0"/>
        <v>25000</v>
      </c>
      <c r="E141" s="4">
        <v>25000</v>
      </c>
      <c r="F141" s="5"/>
      <c r="G141" s="7" t="str">
        <f t="shared" si="1"/>
        <v>Jun</v>
      </c>
      <c r="H141" s="7" t="str">
        <f t="shared" si="2"/>
        <v>Mon</v>
      </c>
    </row>
    <row r="142" spans="1:8" ht="13.2" x14ac:dyDescent="0.25">
      <c r="A142" s="1">
        <v>46174</v>
      </c>
      <c r="B142" s="2" t="s">
        <v>109</v>
      </c>
      <c r="C142" s="3">
        <v>1</v>
      </c>
      <c r="D142" s="4">
        <f t="shared" si="0"/>
        <v>42000</v>
      </c>
      <c r="E142" s="4">
        <v>42000</v>
      </c>
      <c r="F142" s="5"/>
      <c r="G142" s="7" t="str">
        <f t="shared" si="1"/>
        <v>Jun</v>
      </c>
      <c r="H142" s="7" t="str">
        <f t="shared" si="2"/>
        <v>Mon</v>
      </c>
    </row>
    <row r="143" spans="1:8" ht="13.2" x14ac:dyDescent="0.25">
      <c r="A143" s="1">
        <v>46174</v>
      </c>
      <c r="B143" s="2" t="s">
        <v>10</v>
      </c>
      <c r="C143" s="3">
        <v>1</v>
      </c>
      <c r="D143" s="4">
        <f t="shared" si="0"/>
        <v>25000</v>
      </c>
      <c r="E143" s="4">
        <v>25000</v>
      </c>
      <c r="F143" s="5"/>
      <c r="G143" s="7" t="str">
        <f t="shared" si="1"/>
        <v>Jun</v>
      </c>
      <c r="H143" s="7" t="str">
        <f t="shared" si="2"/>
        <v>Mon</v>
      </c>
    </row>
    <row r="144" spans="1:8" ht="13.2" x14ac:dyDescent="0.25">
      <c r="A144" s="1">
        <v>46174</v>
      </c>
      <c r="B144" s="2" t="s">
        <v>74</v>
      </c>
      <c r="C144" s="3">
        <v>1</v>
      </c>
      <c r="D144" s="4">
        <f t="shared" si="0"/>
        <v>10000</v>
      </c>
      <c r="E144" s="4">
        <v>10000</v>
      </c>
      <c r="F144" s="5"/>
      <c r="G144" s="7" t="str">
        <f t="shared" si="1"/>
        <v>Jun</v>
      </c>
      <c r="H144" s="7" t="str">
        <f t="shared" si="2"/>
        <v>Mon</v>
      </c>
    </row>
    <row r="145" spans="1:8" ht="13.2" x14ac:dyDescent="0.25">
      <c r="A145" s="1">
        <v>46175</v>
      </c>
      <c r="B145" s="2" t="s">
        <v>144</v>
      </c>
      <c r="C145" s="3">
        <v>1</v>
      </c>
      <c r="D145" s="4">
        <f t="shared" si="0"/>
        <v>32000</v>
      </c>
      <c r="E145" s="4">
        <v>32000</v>
      </c>
      <c r="F145" s="5"/>
      <c r="G145" s="7" t="str">
        <f t="shared" si="1"/>
        <v>Jun</v>
      </c>
      <c r="H145" s="7" t="str">
        <f t="shared" si="2"/>
        <v>Tue</v>
      </c>
    </row>
    <row r="146" spans="1:8" ht="13.2" x14ac:dyDescent="0.25">
      <c r="A146" s="1">
        <v>46175</v>
      </c>
      <c r="B146" s="2" t="s">
        <v>145</v>
      </c>
      <c r="C146" s="3">
        <v>1</v>
      </c>
      <c r="D146" s="4">
        <f t="shared" si="0"/>
        <v>34000</v>
      </c>
      <c r="E146" s="4">
        <v>34000</v>
      </c>
      <c r="F146" s="5"/>
      <c r="G146" s="7" t="str">
        <f t="shared" si="1"/>
        <v>Jun</v>
      </c>
      <c r="H146" s="7" t="str">
        <f t="shared" si="2"/>
        <v>Tue</v>
      </c>
    </row>
    <row r="147" spans="1:8" ht="13.2" x14ac:dyDescent="0.25">
      <c r="A147" s="1">
        <v>46175</v>
      </c>
      <c r="B147" s="2" t="s">
        <v>77</v>
      </c>
      <c r="C147" s="3">
        <v>1</v>
      </c>
      <c r="D147" s="4">
        <f t="shared" si="0"/>
        <v>36000</v>
      </c>
      <c r="E147" s="4">
        <v>36000</v>
      </c>
      <c r="F147" s="5"/>
      <c r="G147" s="7" t="str">
        <f t="shared" si="1"/>
        <v>Jun</v>
      </c>
      <c r="H147" s="7" t="str">
        <f t="shared" si="2"/>
        <v>Tue</v>
      </c>
    </row>
    <row r="148" spans="1:8" ht="13.2" x14ac:dyDescent="0.25">
      <c r="A148" s="1">
        <v>46175</v>
      </c>
      <c r="B148" s="2" t="s">
        <v>150</v>
      </c>
      <c r="C148" s="3">
        <v>1</v>
      </c>
      <c r="D148" s="4">
        <f t="shared" si="0"/>
        <v>45000</v>
      </c>
      <c r="E148" s="4">
        <v>45000</v>
      </c>
      <c r="F148" s="5"/>
      <c r="G148" s="7" t="str">
        <f t="shared" si="1"/>
        <v>Jun</v>
      </c>
      <c r="H148" s="7" t="str">
        <f t="shared" si="2"/>
        <v>Tue</v>
      </c>
    </row>
    <row r="149" spans="1:8" ht="13.2" x14ac:dyDescent="0.25">
      <c r="A149" s="1">
        <v>46175</v>
      </c>
      <c r="B149" s="2" t="s">
        <v>10</v>
      </c>
      <c r="C149" s="3">
        <v>1</v>
      </c>
      <c r="D149" s="4">
        <f t="shared" si="0"/>
        <v>25000</v>
      </c>
      <c r="E149" s="4">
        <v>25000</v>
      </c>
      <c r="F149" s="5"/>
      <c r="G149" s="7" t="str">
        <f t="shared" si="1"/>
        <v>Jun</v>
      </c>
      <c r="H149" s="7" t="str">
        <f t="shared" si="2"/>
        <v>Tue</v>
      </c>
    </row>
    <row r="150" spans="1:8" ht="13.2" x14ac:dyDescent="0.25">
      <c r="A150" s="1">
        <v>46175</v>
      </c>
      <c r="B150" s="2" t="s">
        <v>189</v>
      </c>
      <c r="C150" s="3">
        <v>1</v>
      </c>
      <c r="D150" s="4">
        <f t="shared" si="0"/>
        <v>10000</v>
      </c>
      <c r="E150" s="4">
        <v>10000</v>
      </c>
      <c r="F150" s="5"/>
      <c r="G150" s="7" t="str">
        <f t="shared" si="1"/>
        <v>Jun</v>
      </c>
      <c r="H150" s="7" t="str">
        <f t="shared" si="2"/>
        <v>Tue</v>
      </c>
    </row>
    <row r="151" spans="1:8" ht="13.2" x14ac:dyDescent="0.25">
      <c r="A151" s="1">
        <v>46175</v>
      </c>
      <c r="B151" s="2" t="s">
        <v>153</v>
      </c>
      <c r="C151" s="3">
        <v>1</v>
      </c>
      <c r="D151" s="4">
        <f t="shared" si="0"/>
        <v>15000</v>
      </c>
      <c r="E151" s="4">
        <v>15000</v>
      </c>
      <c r="F151" s="5"/>
      <c r="G151" s="7" t="str">
        <f t="shared" si="1"/>
        <v>Jun</v>
      </c>
      <c r="H151" s="7" t="str">
        <f t="shared" si="2"/>
        <v>Tue</v>
      </c>
    </row>
    <row r="152" spans="1:8" ht="13.2" x14ac:dyDescent="0.25">
      <c r="A152" s="1">
        <v>46175</v>
      </c>
      <c r="B152" s="2" t="s">
        <v>25</v>
      </c>
      <c r="C152" s="3">
        <v>1</v>
      </c>
      <c r="D152" s="4">
        <f t="shared" si="0"/>
        <v>15000</v>
      </c>
      <c r="E152" s="4">
        <v>15000</v>
      </c>
      <c r="F152" s="5"/>
      <c r="G152" s="7" t="str">
        <f t="shared" si="1"/>
        <v>Jun</v>
      </c>
      <c r="H152" s="7" t="str">
        <f t="shared" si="2"/>
        <v>Tue</v>
      </c>
    </row>
    <row r="153" spans="1:8" ht="13.2" x14ac:dyDescent="0.25">
      <c r="A153" s="1">
        <v>46175</v>
      </c>
      <c r="B153" s="2" t="s">
        <v>152</v>
      </c>
      <c r="C153" s="3">
        <v>1</v>
      </c>
      <c r="D153" s="4">
        <f t="shared" si="0"/>
        <v>37000</v>
      </c>
      <c r="E153" s="4">
        <v>37000</v>
      </c>
      <c r="F153" s="5"/>
      <c r="G153" s="7" t="str">
        <f t="shared" si="1"/>
        <v>Jun</v>
      </c>
      <c r="H153" s="7" t="str">
        <f t="shared" si="2"/>
        <v>Tue</v>
      </c>
    </row>
    <row r="154" spans="1:8" ht="13.2" x14ac:dyDescent="0.25">
      <c r="A154" s="1">
        <v>46175</v>
      </c>
      <c r="B154" s="2" t="s">
        <v>225</v>
      </c>
      <c r="C154" s="3">
        <v>1</v>
      </c>
      <c r="D154" s="4">
        <f t="shared" si="0"/>
        <v>33000</v>
      </c>
      <c r="E154" s="4">
        <v>33000</v>
      </c>
      <c r="F154" s="5"/>
      <c r="G154" s="7" t="str">
        <f t="shared" si="1"/>
        <v>Jun</v>
      </c>
      <c r="H154" s="7" t="str">
        <f t="shared" si="2"/>
        <v>Tue</v>
      </c>
    </row>
    <row r="155" spans="1:8" ht="13.2" x14ac:dyDescent="0.25">
      <c r="A155" s="1">
        <v>46175</v>
      </c>
      <c r="B155" s="2" t="s">
        <v>17</v>
      </c>
      <c r="C155" s="3">
        <v>1</v>
      </c>
      <c r="D155" s="4">
        <f t="shared" si="0"/>
        <v>10000</v>
      </c>
      <c r="E155" s="4">
        <v>10000</v>
      </c>
      <c r="F155" s="5"/>
      <c r="G155" s="7" t="str">
        <f t="shared" si="1"/>
        <v>Jun</v>
      </c>
      <c r="H155" s="7" t="str">
        <f t="shared" si="2"/>
        <v>Tue</v>
      </c>
    </row>
    <row r="156" spans="1:8" ht="13.2" x14ac:dyDescent="0.25">
      <c r="A156" s="1">
        <v>46175</v>
      </c>
      <c r="B156" s="2" t="s">
        <v>18</v>
      </c>
      <c r="C156" s="3">
        <v>1</v>
      </c>
      <c r="D156" s="4">
        <f t="shared" si="0"/>
        <v>10000</v>
      </c>
      <c r="E156" s="4">
        <v>10000</v>
      </c>
      <c r="F156" s="5"/>
      <c r="G156" s="7" t="str">
        <f t="shared" si="1"/>
        <v>Jun</v>
      </c>
      <c r="H156" s="7" t="str">
        <f t="shared" si="2"/>
        <v>Tue</v>
      </c>
    </row>
    <row r="157" spans="1:8" ht="13.2" x14ac:dyDescent="0.25">
      <c r="A157" s="1">
        <v>46175</v>
      </c>
      <c r="B157" s="2" t="s">
        <v>16</v>
      </c>
      <c r="C157" s="3">
        <v>2</v>
      </c>
      <c r="D157" s="4">
        <f t="shared" si="0"/>
        <v>10000</v>
      </c>
      <c r="E157" s="4">
        <v>20000</v>
      </c>
      <c r="F157" s="5"/>
      <c r="G157" s="7" t="str">
        <f t="shared" si="1"/>
        <v>Jun</v>
      </c>
      <c r="H157" s="7" t="str">
        <f t="shared" si="2"/>
        <v>Tue</v>
      </c>
    </row>
    <row r="158" spans="1:8" ht="13.2" x14ac:dyDescent="0.25">
      <c r="A158" s="1">
        <v>46175</v>
      </c>
      <c r="B158" s="2" t="s">
        <v>15</v>
      </c>
      <c r="C158" s="3">
        <v>3</v>
      </c>
      <c r="D158" s="4">
        <f t="shared" si="0"/>
        <v>26000</v>
      </c>
      <c r="E158" s="4">
        <v>78000</v>
      </c>
      <c r="F158" s="5"/>
      <c r="G158" s="7" t="str">
        <f t="shared" si="1"/>
        <v>Jun</v>
      </c>
      <c r="H158" s="7" t="str">
        <f t="shared" si="2"/>
        <v>Tue</v>
      </c>
    </row>
    <row r="159" spans="1:8" ht="13.2" x14ac:dyDescent="0.25">
      <c r="A159" s="1">
        <v>46176</v>
      </c>
      <c r="B159" s="2" t="s">
        <v>106</v>
      </c>
      <c r="C159" s="3">
        <v>1</v>
      </c>
      <c r="D159" s="4">
        <f t="shared" si="0"/>
        <v>125000</v>
      </c>
      <c r="E159" s="4">
        <v>125000</v>
      </c>
      <c r="F159" s="5"/>
      <c r="G159" s="7" t="str">
        <f t="shared" si="1"/>
        <v>Jun</v>
      </c>
      <c r="H159" s="7" t="str">
        <f t="shared" si="2"/>
        <v>Wed</v>
      </c>
    </row>
    <row r="160" spans="1:8" ht="13.2" x14ac:dyDescent="0.25">
      <c r="A160" s="1">
        <v>46176</v>
      </c>
      <c r="B160" s="2" t="s">
        <v>182</v>
      </c>
      <c r="C160" s="3">
        <v>1</v>
      </c>
      <c r="D160" s="4">
        <f t="shared" si="0"/>
        <v>55000</v>
      </c>
      <c r="E160" s="4">
        <v>55000</v>
      </c>
      <c r="F160" s="5"/>
      <c r="G160" s="7" t="str">
        <f t="shared" si="1"/>
        <v>Jun</v>
      </c>
      <c r="H160" s="7" t="str">
        <f t="shared" si="2"/>
        <v>Wed</v>
      </c>
    </row>
    <row r="161" spans="1:8" ht="13.2" x14ac:dyDescent="0.25">
      <c r="A161" s="1">
        <v>46176</v>
      </c>
      <c r="B161" s="2" t="s">
        <v>28</v>
      </c>
      <c r="C161" s="3">
        <v>1</v>
      </c>
      <c r="D161" s="4">
        <f t="shared" si="0"/>
        <v>30000</v>
      </c>
      <c r="E161" s="4">
        <v>30000</v>
      </c>
      <c r="F161" s="5"/>
      <c r="G161" s="7" t="str">
        <f t="shared" si="1"/>
        <v>Jun</v>
      </c>
      <c r="H161" s="7" t="str">
        <f t="shared" si="2"/>
        <v>Wed</v>
      </c>
    </row>
    <row r="162" spans="1:8" ht="13.2" x14ac:dyDescent="0.25">
      <c r="A162" s="1">
        <v>46176</v>
      </c>
      <c r="B162" s="2" t="s">
        <v>15</v>
      </c>
      <c r="C162" s="3">
        <v>1</v>
      </c>
      <c r="D162" s="4">
        <f t="shared" si="0"/>
        <v>26000</v>
      </c>
      <c r="E162" s="4">
        <v>26000</v>
      </c>
      <c r="F162" s="5"/>
      <c r="G162" s="7" t="str">
        <f t="shared" si="1"/>
        <v>Jun</v>
      </c>
      <c r="H162" s="7" t="str">
        <f t="shared" si="2"/>
        <v>Wed</v>
      </c>
    </row>
    <row r="163" spans="1:8" ht="13.2" x14ac:dyDescent="0.25">
      <c r="A163" s="1">
        <v>46176</v>
      </c>
      <c r="B163" s="2" t="s">
        <v>111</v>
      </c>
      <c r="C163" s="3">
        <v>1</v>
      </c>
      <c r="D163" s="4">
        <f t="shared" si="0"/>
        <v>15000</v>
      </c>
      <c r="E163" s="4">
        <v>15000</v>
      </c>
      <c r="F163" s="5"/>
      <c r="G163" s="7" t="str">
        <f t="shared" si="1"/>
        <v>Jun</v>
      </c>
      <c r="H163" s="7" t="str">
        <f t="shared" si="2"/>
        <v>Wed</v>
      </c>
    </row>
    <row r="164" spans="1:8" ht="13.2" x14ac:dyDescent="0.25">
      <c r="A164" s="1">
        <v>46176</v>
      </c>
      <c r="B164" s="2" t="s">
        <v>10</v>
      </c>
      <c r="C164" s="3">
        <v>1</v>
      </c>
      <c r="D164" s="4">
        <f t="shared" si="0"/>
        <v>25000</v>
      </c>
      <c r="E164" s="4">
        <v>25000</v>
      </c>
      <c r="F164" s="5"/>
      <c r="G164" s="7" t="str">
        <f t="shared" si="1"/>
        <v>Jun</v>
      </c>
      <c r="H164" s="7" t="str">
        <f t="shared" si="2"/>
        <v>Wed</v>
      </c>
    </row>
    <row r="165" spans="1:8" ht="13.2" x14ac:dyDescent="0.25">
      <c r="A165" s="1">
        <v>46176</v>
      </c>
      <c r="B165" s="2" t="s">
        <v>231</v>
      </c>
      <c r="C165" s="3">
        <v>1</v>
      </c>
      <c r="D165" s="4">
        <f t="shared" si="0"/>
        <v>28000</v>
      </c>
      <c r="E165" s="4">
        <v>28000</v>
      </c>
      <c r="F165" s="5"/>
      <c r="G165" s="7" t="str">
        <f t="shared" si="1"/>
        <v>Jun</v>
      </c>
      <c r="H165" s="7" t="str">
        <f t="shared" si="2"/>
        <v>Wed</v>
      </c>
    </row>
    <row r="166" spans="1:8" ht="13.2" x14ac:dyDescent="0.25">
      <c r="A166" s="1">
        <v>46176</v>
      </c>
      <c r="B166" s="2" t="s">
        <v>82</v>
      </c>
      <c r="C166" s="3">
        <v>1</v>
      </c>
      <c r="D166" s="4">
        <f t="shared" si="0"/>
        <v>27000</v>
      </c>
      <c r="E166" s="4">
        <v>27000</v>
      </c>
      <c r="F166" s="5"/>
      <c r="G166" s="7" t="str">
        <f t="shared" si="1"/>
        <v>Jun</v>
      </c>
      <c r="H166" s="7" t="str">
        <f t="shared" si="2"/>
        <v>Wed</v>
      </c>
    </row>
    <row r="167" spans="1:8" ht="13.2" x14ac:dyDescent="0.25">
      <c r="A167" s="1">
        <v>46176</v>
      </c>
      <c r="B167" s="2" t="s">
        <v>188</v>
      </c>
      <c r="C167" s="3">
        <v>1</v>
      </c>
      <c r="D167" s="4">
        <f t="shared" si="0"/>
        <v>10000</v>
      </c>
      <c r="E167" s="4">
        <v>10000</v>
      </c>
      <c r="F167" s="5"/>
      <c r="G167" s="7" t="str">
        <f t="shared" si="1"/>
        <v>Jun</v>
      </c>
      <c r="H167" s="7" t="str">
        <f t="shared" si="2"/>
        <v>Wed</v>
      </c>
    </row>
    <row r="168" spans="1:8" ht="13.2" x14ac:dyDescent="0.25">
      <c r="A168" s="1">
        <v>46176</v>
      </c>
      <c r="B168" s="2" t="s">
        <v>13</v>
      </c>
      <c r="C168" s="3">
        <v>1</v>
      </c>
      <c r="D168" s="4">
        <f t="shared" si="0"/>
        <v>42000</v>
      </c>
      <c r="E168" s="4">
        <v>42000</v>
      </c>
      <c r="F168" s="5" t="s">
        <v>14</v>
      </c>
      <c r="G168" s="7" t="str">
        <f t="shared" si="1"/>
        <v>Jun</v>
      </c>
      <c r="H168" s="7" t="str">
        <f t="shared" si="2"/>
        <v>Wed</v>
      </c>
    </row>
    <row r="169" spans="1:8" ht="13.2" x14ac:dyDescent="0.25">
      <c r="A169" s="1">
        <v>46177</v>
      </c>
      <c r="B169" s="2" t="s">
        <v>183</v>
      </c>
      <c r="C169" s="3">
        <v>1</v>
      </c>
      <c r="D169" s="4">
        <f t="shared" si="0"/>
        <v>38500</v>
      </c>
      <c r="E169" s="4">
        <v>38500</v>
      </c>
      <c r="F169" s="5"/>
      <c r="G169" s="7" t="str">
        <f t="shared" si="1"/>
        <v>Jun</v>
      </c>
      <c r="H169" s="7" t="str">
        <f t="shared" si="2"/>
        <v>Thu</v>
      </c>
    </row>
    <row r="170" spans="1:8" ht="13.2" x14ac:dyDescent="0.25">
      <c r="A170" s="1">
        <v>46177</v>
      </c>
      <c r="B170" s="2" t="s">
        <v>51</v>
      </c>
      <c r="C170" s="3">
        <v>5</v>
      </c>
      <c r="D170" s="4">
        <f t="shared" si="0"/>
        <v>6000</v>
      </c>
      <c r="E170" s="4">
        <v>30000</v>
      </c>
      <c r="F170" s="5"/>
      <c r="G170" s="7" t="str">
        <f t="shared" si="1"/>
        <v>Jun</v>
      </c>
      <c r="H170" s="7" t="str">
        <f t="shared" si="2"/>
        <v>Thu</v>
      </c>
    </row>
    <row r="171" spans="1:8" ht="13.2" x14ac:dyDescent="0.25">
      <c r="A171" s="1">
        <v>46177</v>
      </c>
      <c r="B171" s="2" t="s">
        <v>17</v>
      </c>
      <c r="C171" s="3">
        <v>2</v>
      </c>
      <c r="D171" s="4">
        <f t="shared" si="0"/>
        <v>10000</v>
      </c>
      <c r="E171" s="4">
        <v>20000</v>
      </c>
      <c r="F171" s="5"/>
      <c r="G171" s="7" t="str">
        <f t="shared" si="1"/>
        <v>Jun</v>
      </c>
      <c r="H171" s="7" t="str">
        <f t="shared" si="2"/>
        <v>Thu</v>
      </c>
    </row>
    <row r="172" spans="1:8" ht="13.2" x14ac:dyDescent="0.25">
      <c r="A172" s="1">
        <v>46178</v>
      </c>
      <c r="B172" s="2" t="s">
        <v>214</v>
      </c>
      <c r="C172" s="3">
        <v>1</v>
      </c>
      <c r="D172" s="4">
        <f t="shared" si="0"/>
        <v>35000</v>
      </c>
      <c r="E172" s="4">
        <v>35000</v>
      </c>
      <c r="F172" s="5"/>
      <c r="G172" s="7" t="str">
        <f t="shared" si="1"/>
        <v>Jun</v>
      </c>
      <c r="H172" s="7" t="str">
        <f t="shared" si="2"/>
        <v>Fri</v>
      </c>
    </row>
    <row r="173" spans="1:8" ht="13.2" x14ac:dyDescent="0.25">
      <c r="A173" s="1">
        <v>46178</v>
      </c>
      <c r="B173" s="2" t="s">
        <v>222</v>
      </c>
      <c r="C173" s="3">
        <v>1</v>
      </c>
      <c r="D173" s="4">
        <f t="shared" si="0"/>
        <v>175000</v>
      </c>
      <c r="E173" s="4">
        <v>175000</v>
      </c>
      <c r="F173" s="5"/>
      <c r="G173" s="7" t="str">
        <f t="shared" si="1"/>
        <v>Jun</v>
      </c>
      <c r="H173" s="7" t="str">
        <f t="shared" si="2"/>
        <v>Fri</v>
      </c>
    </row>
    <row r="174" spans="1:8" ht="13.2" x14ac:dyDescent="0.25">
      <c r="A174" s="1">
        <v>46178</v>
      </c>
      <c r="B174" s="2" t="s">
        <v>195</v>
      </c>
      <c r="C174" s="3">
        <v>1</v>
      </c>
      <c r="D174" s="4">
        <f t="shared" si="0"/>
        <v>15000</v>
      </c>
      <c r="E174" s="4">
        <v>15000</v>
      </c>
      <c r="F174" s="5"/>
      <c r="G174" s="7" t="str">
        <f t="shared" si="1"/>
        <v>Jun</v>
      </c>
      <c r="H174" s="7" t="str">
        <f t="shared" si="2"/>
        <v>Fri</v>
      </c>
    </row>
    <row r="175" spans="1:8" ht="13.2" x14ac:dyDescent="0.25">
      <c r="A175" s="1">
        <v>46178</v>
      </c>
      <c r="B175" s="2" t="s">
        <v>219</v>
      </c>
      <c r="C175" s="3">
        <v>4</v>
      </c>
      <c r="D175" s="4">
        <f t="shared" si="0"/>
        <v>25000</v>
      </c>
      <c r="E175" s="4">
        <v>100000</v>
      </c>
      <c r="F175" s="5"/>
      <c r="G175" s="7" t="str">
        <f t="shared" si="1"/>
        <v>Jun</v>
      </c>
      <c r="H175" s="7" t="str">
        <f t="shared" si="2"/>
        <v>Fri</v>
      </c>
    </row>
    <row r="176" spans="1:8" ht="13.2" x14ac:dyDescent="0.25">
      <c r="A176" s="1">
        <v>46178</v>
      </c>
      <c r="B176" s="2" t="s">
        <v>187</v>
      </c>
      <c r="C176" s="3">
        <v>1</v>
      </c>
      <c r="D176" s="4">
        <f t="shared" si="0"/>
        <v>15000</v>
      </c>
      <c r="E176" s="4">
        <v>15000</v>
      </c>
      <c r="F176" s="5"/>
      <c r="G176" s="7" t="str">
        <f t="shared" si="1"/>
        <v>Jun</v>
      </c>
      <c r="H176" s="7" t="str">
        <f t="shared" si="2"/>
        <v>Fri</v>
      </c>
    </row>
    <row r="177" spans="1:8" ht="13.2" x14ac:dyDescent="0.25">
      <c r="A177" s="1">
        <v>46178</v>
      </c>
      <c r="B177" s="2" t="s">
        <v>11</v>
      </c>
      <c r="C177" s="3">
        <v>1</v>
      </c>
      <c r="D177" s="4">
        <f t="shared" si="0"/>
        <v>25000</v>
      </c>
      <c r="E177" s="4">
        <v>25000</v>
      </c>
      <c r="F177" s="5" t="s">
        <v>14</v>
      </c>
      <c r="G177" s="7" t="str">
        <f t="shared" si="1"/>
        <v>Jun</v>
      </c>
      <c r="H177" s="7" t="str">
        <f t="shared" si="2"/>
        <v>Fri</v>
      </c>
    </row>
    <row r="178" spans="1:8" ht="13.2" x14ac:dyDescent="0.25">
      <c r="A178" s="1">
        <v>46178</v>
      </c>
      <c r="B178" s="2" t="s">
        <v>10</v>
      </c>
      <c r="C178" s="3">
        <v>1</v>
      </c>
      <c r="D178" s="4">
        <f t="shared" si="0"/>
        <v>25000</v>
      </c>
      <c r="E178" s="4">
        <v>25000</v>
      </c>
      <c r="F178" s="5"/>
      <c r="G178" s="7" t="str">
        <f t="shared" si="1"/>
        <v>Jun</v>
      </c>
      <c r="H178" s="7" t="str">
        <f t="shared" si="2"/>
        <v>Fri</v>
      </c>
    </row>
    <row r="179" spans="1:8" ht="13.2" x14ac:dyDescent="0.25">
      <c r="A179" s="1">
        <v>46178</v>
      </c>
      <c r="B179" s="2" t="s">
        <v>21</v>
      </c>
      <c r="C179" s="3">
        <v>1</v>
      </c>
      <c r="D179" s="4">
        <f t="shared" si="0"/>
        <v>55000</v>
      </c>
      <c r="E179" s="4">
        <v>55000</v>
      </c>
      <c r="F179" s="5"/>
      <c r="G179" s="7" t="str">
        <f t="shared" si="1"/>
        <v>Jun</v>
      </c>
      <c r="H179" s="7" t="str">
        <f t="shared" si="2"/>
        <v>Fri</v>
      </c>
    </row>
    <row r="180" spans="1:8" ht="13.2" x14ac:dyDescent="0.25">
      <c r="A180" s="1">
        <v>46179</v>
      </c>
      <c r="B180" s="2" t="s">
        <v>108</v>
      </c>
      <c r="C180" s="3">
        <v>1</v>
      </c>
      <c r="D180" s="4">
        <f t="shared" si="0"/>
        <v>130000</v>
      </c>
      <c r="E180" s="4">
        <v>130000</v>
      </c>
      <c r="F180" s="5"/>
      <c r="G180" s="7" t="str">
        <f t="shared" si="1"/>
        <v>Jun</v>
      </c>
      <c r="H180" s="7" t="str">
        <f t="shared" si="2"/>
        <v>Sat</v>
      </c>
    </row>
    <row r="181" spans="1:8" ht="13.2" x14ac:dyDescent="0.25">
      <c r="A181" s="1">
        <v>46179</v>
      </c>
      <c r="B181" s="2" t="s">
        <v>212</v>
      </c>
      <c r="C181" s="3">
        <v>1</v>
      </c>
      <c r="D181" s="4">
        <f t="shared" si="0"/>
        <v>80000</v>
      </c>
      <c r="E181" s="4">
        <v>80000</v>
      </c>
      <c r="F181" s="5"/>
      <c r="G181" s="7" t="str">
        <f t="shared" si="1"/>
        <v>Jun</v>
      </c>
      <c r="H181" s="7" t="str">
        <f t="shared" si="2"/>
        <v>Sat</v>
      </c>
    </row>
    <row r="182" spans="1:8" ht="13.2" x14ac:dyDescent="0.25">
      <c r="A182" s="1">
        <v>46179</v>
      </c>
      <c r="B182" s="2" t="s">
        <v>221</v>
      </c>
      <c r="C182" s="3">
        <v>1</v>
      </c>
      <c r="D182" s="4">
        <f t="shared" si="0"/>
        <v>100000</v>
      </c>
      <c r="E182" s="4">
        <v>100000</v>
      </c>
      <c r="F182" s="5"/>
      <c r="G182" s="7" t="str">
        <f t="shared" si="1"/>
        <v>Jun</v>
      </c>
      <c r="H182" s="7" t="str">
        <f t="shared" si="2"/>
        <v>Sat</v>
      </c>
    </row>
    <row r="183" spans="1:8" ht="13.2" x14ac:dyDescent="0.25">
      <c r="A183" s="1">
        <v>46179</v>
      </c>
      <c r="B183" s="2" t="s">
        <v>11</v>
      </c>
      <c r="C183" s="3">
        <v>1</v>
      </c>
      <c r="D183" s="4">
        <f t="shared" si="0"/>
        <v>25000</v>
      </c>
      <c r="E183" s="4">
        <v>25000</v>
      </c>
      <c r="F183" s="5"/>
      <c r="G183" s="7" t="str">
        <f t="shared" si="1"/>
        <v>Jun</v>
      </c>
      <c r="H183" s="7" t="str">
        <f t="shared" si="2"/>
        <v>Sat</v>
      </c>
    </row>
    <row r="184" spans="1:8" ht="13.2" x14ac:dyDescent="0.25">
      <c r="A184" s="1">
        <v>46179</v>
      </c>
      <c r="B184" s="2" t="s">
        <v>10</v>
      </c>
      <c r="C184" s="3">
        <v>1</v>
      </c>
      <c r="D184" s="4">
        <f t="shared" si="0"/>
        <v>25000</v>
      </c>
      <c r="E184" s="4">
        <v>25000</v>
      </c>
      <c r="F184" s="5"/>
      <c r="G184" s="7" t="str">
        <f t="shared" si="1"/>
        <v>Jun</v>
      </c>
      <c r="H184" s="7" t="str">
        <f t="shared" si="2"/>
        <v>Sat</v>
      </c>
    </row>
    <row r="185" spans="1:8" ht="13.2" x14ac:dyDescent="0.25">
      <c r="A185" s="1">
        <v>46179</v>
      </c>
      <c r="B185" s="2" t="s">
        <v>173</v>
      </c>
      <c r="C185" s="3">
        <v>2</v>
      </c>
      <c r="D185" s="4">
        <f t="shared" si="0"/>
        <v>5000</v>
      </c>
      <c r="E185" s="4">
        <v>10000</v>
      </c>
      <c r="F185" s="5"/>
      <c r="G185" s="7" t="str">
        <f t="shared" si="1"/>
        <v>Jun</v>
      </c>
      <c r="H185" s="7" t="str">
        <f t="shared" si="2"/>
        <v>Sat</v>
      </c>
    </row>
    <row r="186" spans="1:8" ht="13.2" x14ac:dyDescent="0.25">
      <c r="A186" s="1">
        <v>46179</v>
      </c>
      <c r="B186" s="2" t="s">
        <v>139</v>
      </c>
      <c r="C186" s="3">
        <v>1</v>
      </c>
      <c r="D186" s="4">
        <f t="shared" si="0"/>
        <v>30000</v>
      </c>
      <c r="E186" s="4">
        <v>30000</v>
      </c>
      <c r="F186" s="5"/>
      <c r="G186" s="7" t="str">
        <f t="shared" si="1"/>
        <v>Jun</v>
      </c>
      <c r="H186" s="7" t="str">
        <f t="shared" si="2"/>
        <v>Sat</v>
      </c>
    </row>
    <row r="187" spans="1:8" ht="13.2" x14ac:dyDescent="0.25">
      <c r="A187" s="1">
        <v>46179</v>
      </c>
      <c r="B187" s="2" t="s">
        <v>10</v>
      </c>
      <c r="C187" s="3">
        <v>1</v>
      </c>
      <c r="D187" s="4">
        <f t="shared" si="0"/>
        <v>25000</v>
      </c>
      <c r="E187" s="4">
        <v>25000</v>
      </c>
      <c r="F187" s="5"/>
      <c r="G187" s="7" t="str">
        <f t="shared" si="1"/>
        <v>Jun</v>
      </c>
      <c r="H187" s="7" t="str">
        <f t="shared" si="2"/>
        <v>Sat</v>
      </c>
    </row>
    <row r="188" spans="1:8" ht="13.2" x14ac:dyDescent="0.25">
      <c r="A188" s="1">
        <v>46179</v>
      </c>
      <c r="B188" s="2" t="s">
        <v>130</v>
      </c>
      <c r="C188" s="3">
        <v>1</v>
      </c>
      <c r="D188" s="4">
        <f t="shared" si="0"/>
        <v>25000</v>
      </c>
      <c r="E188" s="4">
        <v>25000</v>
      </c>
      <c r="F188" s="5"/>
      <c r="G188" s="7" t="str">
        <f t="shared" si="1"/>
        <v>Jun</v>
      </c>
      <c r="H188" s="7" t="str">
        <f t="shared" si="2"/>
        <v>Sat</v>
      </c>
    </row>
    <row r="189" spans="1:8" ht="13.2" x14ac:dyDescent="0.25">
      <c r="A189" s="1">
        <v>46179</v>
      </c>
      <c r="B189" s="2" t="s">
        <v>65</v>
      </c>
      <c r="C189" s="3">
        <v>1</v>
      </c>
      <c r="D189" s="4">
        <f t="shared" si="0"/>
        <v>50000</v>
      </c>
      <c r="E189" s="4">
        <v>50000</v>
      </c>
      <c r="F189" s="5"/>
      <c r="G189" s="7" t="str">
        <f t="shared" si="1"/>
        <v>Jun</v>
      </c>
      <c r="H189" s="7" t="str">
        <f t="shared" si="2"/>
        <v>Sat</v>
      </c>
    </row>
    <row r="190" spans="1:8" ht="13.2" x14ac:dyDescent="0.25">
      <c r="A190" s="1">
        <v>46182</v>
      </c>
      <c r="B190" s="2" t="s">
        <v>195</v>
      </c>
      <c r="C190" s="3">
        <v>1</v>
      </c>
      <c r="D190" s="4">
        <f t="shared" si="0"/>
        <v>15000</v>
      </c>
      <c r="E190" s="4">
        <v>15000</v>
      </c>
      <c r="F190" s="5"/>
      <c r="G190" s="7" t="str">
        <f t="shared" si="1"/>
        <v>Jun</v>
      </c>
      <c r="H190" s="7" t="str">
        <f t="shared" si="2"/>
        <v>Tue</v>
      </c>
    </row>
    <row r="191" spans="1:8" ht="13.2" x14ac:dyDescent="0.25">
      <c r="A191" s="1">
        <v>46182</v>
      </c>
      <c r="B191" s="2" t="s">
        <v>103</v>
      </c>
      <c r="C191" s="3">
        <v>1</v>
      </c>
      <c r="D191" s="4">
        <f t="shared" si="0"/>
        <v>10000</v>
      </c>
      <c r="E191" s="4">
        <v>10000</v>
      </c>
      <c r="F191" s="5"/>
      <c r="G191" s="7" t="str">
        <f t="shared" si="1"/>
        <v>Jun</v>
      </c>
      <c r="H191" s="7" t="str">
        <f t="shared" si="2"/>
        <v>Tue</v>
      </c>
    </row>
    <row r="192" spans="1:8" ht="13.2" x14ac:dyDescent="0.25">
      <c r="A192" s="1">
        <v>46182</v>
      </c>
      <c r="B192" s="2" t="s">
        <v>64</v>
      </c>
      <c r="C192" s="3">
        <v>1</v>
      </c>
      <c r="D192" s="4">
        <f t="shared" si="0"/>
        <v>25000</v>
      </c>
      <c r="E192" s="4">
        <v>25000</v>
      </c>
      <c r="F192" s="5"/>
      <c r="G192" s="7" t="str">
        <f t="shared" si="1"/>
        <v>Jun</v>
      </c>
      <c r="H192" s="7" t="str">
        <f t="shared" si="2"/>
        <v>Tue</v>
      </c>
    </row>
    <row r="193" spans="1:8" ht="13.2" x14ac:dyDescent="0.25">
      <c r="A193" s="1">
        <v>46182</v>
      </c>
      <c r="B193" s="2" t="s">
        <v>124</v>
      </c>
      <c r="C193" s="3">
        <v>1</v>
      </c>
      <c r="D193" s="4">
        <f t="shared" si="0"/>
        <v>60000</v>
      </c>
      <c r="E193" s="4">
        <v>60000</v>
      </c>
      <c r="F193" s="5"/>
      <c r="G193" s="7" t="str">
        <f t="shared" si="1"/>
        <v>Jun</v>
      </c>
      <c r="H193" s="7" t="str">
        <f t="shared" si="2"/>
        <v>Tue</v>
      </c>
    </row>
    <row r="194" spans="1:8" ht="13.2" x14ac:dyDescent="0.25">
      <c r="A194" s="1">
        <v>46182</v>
      </c>
      <c r="B194" s="2" t="s">
        <v>123</v>
      </c>
      <c r="C194" s="3">
        <v>1</v>
      </c>
      <c r="D194" s="4">
        <f t="shared" si="0"/>
        <v>15000</v>
      </c>
      <c r="E194" s="4">
        <v>15000</v>
      </c>
      <c r="F194" s="5"/>
      <c r="G194" s="7" t="str">
        <f t="shared" si="1"/>
        <v>Jun</v>
      </c>
      <c r="H194" s="7" t="str">
        <f t="shared" si="2"/>
        <v>Tue</v>
      </c>
    </row>
    <row r="195" spans="1:8" ht="13.2" x14ac:dyDescent="0.25">
      <c r="A195" s="1">
        <v>46182</v>
      </c>
      <c r="B195" s="2" t="s">
        <v>42</v>
      </c>
      <c r="C195" s="3">
        <v>2</v>
      </c>
      <c r="D195" s="4">
        <f t="shared" si="0"/>
        <v>7500</v>
      </c>
      <c r="E195" s="4">
        <v>15000</v>
      </c>
      <c r="F195" s="5"/>
      <c r="G195" s="7" t="str">
        <f t="shared" si="1"/>
        <v>Jun</v>
      </c>
      <c r="H195" s="7" t="str">
        <f t="shared" si="2"/>
        <v>Tue</v>
      </c>
    </row>
    <row r="196" spans="1:8" ht="13.2" x14ac:dyDescent="0.25">
      <c r="A196" s="1">
        <v>46182</v>
      </c>
      <c r="B196" s="2" t="s">
        <v>44</v>
      </c>
      <c r="C196" s="3">
        <v>1</v>
      </c>
      <c r="D196" s="4">
        <f t="shared" si="0"/>
        <v>10000</v>
      </c>
      <c r="E196" s="4">
        <v>10000</v>
      </c>
      <c r="F196" s="5"/>
      <c r="G196" s="7" t="str">
        <f t="shared" si="1"/>
        <v>Jun</v>
      </c>
      <c r="H196" s="7" t="str">
        <f t="shared" si="2"/>
        <v>Tue</v>
      </c>
    </row>
    <row r="197" spans="1:8" ht="13.2" x14ac:dyDescent="0.25">
      <c r="A197" s="1">
        <v>46182</v>
      </c>
      <c r="B197" s="2" t="s">
        <v>226</v>
      </c>
      <c r="C197" s="3">
        <v>1</v>
      </c>
      <c r="D197" s="4">
        <f t="shared" si="0"/>
        <v>25000</v>
      </c>
      <c r="E197" s="4">
        <v>25000</v>
      </c>
      <c r="F197" s="5"/>
      <c r="G197" s="7" t="str">
        <f t="shared" si="1"/>
        <v>Jun</v>
      </c>
      <c r="H197" s="7" t="str">
        <f t="shared" si="2"/>
        <v>Tue</v>
      </c>
    </row>
    <row r="198" spans="1:8" ht="13.2" x14ac:dyDescent="0.25">
      <c r="A198" s="1">
        <v>46182</v>
      </c>
      <c r="B198" s="2" t="s">
        <v>103</v>
      </c>
      <c r="C198" s="3">
        <v>1</v>
      </c>
      <c r="D198" s="4">
        <f t="shared" si="0"/>
        <v>10000</v>
      </c>
      <c r="E198" s="4">
        <v>10000</v>
      </c>
      <c r="F198" s="5"/>
      <c r="G198" s="7" t="str">
        <f t="shared" si="1"/>
        <v>Jun</v>
      </c>
      <c r="H198" s="7" t="str">
        <f t="shared" si="2"/>
        <v>Tue</v>
      </c>
    </row>
    <row r="199" spans="1:8" ht="13.2" x14ac:dyDescent="0.25">
      <c r="A199" s="1">
        <v>46182</v>
      </c>
      <c r="B199" s="2" t="s">
        <v>58</v>
      </c>
      <c r="C199" s="3">
        <v>3</v>
      </c>
      <c r="D199" s="4">
        <f t="shared" si="0"/>
        <v>5000</v>
      </c>
      <c r="E199" s="4">
        <v>15000</v>
      </c>
      <c r="F199" s="5"/>
      <c r="G199" s="7" t="str">
        <f t="shared" si="1"/>
        <v>Jun</v>
      </c>
      <c r="H199" s="7" t="str">
        <f t="shared" si="2"/>
        <v>Tue</v>
      </c>
    </row>
    <row r="200" spans="1:8" ht="13.2" x14ac:dyDescent="0.25">
      <c r="A200" s="1">
        <v>46183</v>
      </c>
      <c r="B200" s="2" t="s">
        <v>235</v>
      </c>
      <c r="C200" s="3">
        <v>4</v>
      </c>
      <c r="D200" s="4">
        <f t="shared" si="0"/>
        <v>5000</v>
      </c>
      <c r="E200" s="4">
        <v>20000</v>
      </c>
      <c r="F200" s="5"/>
      <c r="G200" s="7" t="str">
        <f t="shared" si="1"/>
        <v>Jun</v>
      </c>
      <c r="H200" s="7" t="str">
        <f t="shared" si="2"/>
        <v>Wed</v>
      </c>
    </row>
    <row r="201" spans="1:8" ht="13.2" x14ac:dyDescent="0.25">
      <c r="A201" s="1">
        <v>46183</v>
      </c>
      <c r="B201" s="2" t="s">
        <v>214</v>
      </c>
      <c r="C201" s="3">
        <v>1</v>
      </c>
      <c r="D201" s="4">
        <f t="shared" si="0"/>
        <v>35000</v>
      </c>
      <c r="E201" s="4">
        <v>35000</v>
      </c>
      <c r="F201" s="5"/>
      <c r="G201" s="7" t="str">
        <f t="shared" si="1"/>
        <v>Jun</v>
      </c>
      <c r="H201" s="7" t="str">
        <f t="shared" si="2"/>
        <v>Wed</v>
      </c>
    </row>
    <row r="202" spans="1:8" ht="13.2" x14ac:dyDescent="0.25">
      <c r="A202" s="1">
        <v>46183</v>
      </c>
      <c r="B202" s="2" t="s">
        <v>17</v>
      </c>
      <c r="C202" s="3">
        <v>1</v>
      </c>
      <c r="D202" s="4">
        <f t="shared" si="0"/>
        <v>10000</v>
      </c>
      <c r="E202" s="4">
        <v>10000</v>
      </c>
      <c r="F202" s="5"/>
      <c r="G202" s="7" t="str">
        <f t="shared" si="1"/>
        <v>Jun</v>
      </c>
      <c r="H202" s="7" t="str">
        <f t="shared" si="2"/>
        <v>Wed</v>
      </c>
    </row>
    <row r="203" spans="1:8" ht="13.2" x14ac:dyDescent="0.25">
      <c r="A203" s="1">
        <v>46183</v>
      </c>
      <c r="B203" s="2" t="s">
        <v>11</v>
      </c>
      <c r="C203" s="3">
        <v>1</v>
      </c>
      <c r="D203" s="4">
        <f t="shared" si="0"/>
        <v>25000</v>
      </c>
      <c r="E203" s="4">
        <v>25000</v>
      </c>
      <c r="F203" s="5"/>
      <c r="G203" s="7" t="str">
        <f t="shared" si="1"/>
        <v>Jun</v>
      </c>
      <c r="H203" s="7" t="str">
        <f t="shared" si="2"/>
        <v>Wed</v>
      </c>
    </row>
    <row r="204" spans="1:8" ht="13.2" x14ac:dyDescent="0.25">
      <c r="A204" s="1">
        <v>46183</v>
      </c>
      <c r="B204" s="2" t="s">
        <v>198</v>
      </c>
      <c r="C204" s="3">
        <v>1</v>
      </c>
      <c r="D204" s="4">
        <f t="shared" si="0"/>
        <v>35000</v>
      </c>
      <c r="E204" s="4">
        <v>35000</v>
      </c>
      <c r="F204" s="5"/>
      <c r="G204" s="7" t="str">
        <f t="shared" si="1"/>
        <v>Jun</v>
      </c>
      <c r="H204" s="7" t="str">
        <f t="shared" si="2"/>
        <v>Wed</v>
      </c>
    </row>
    <row r="205" spans="1:8" ht="13.2" x14ac:dyDescent="0.25">
      <c r="A205" s="1">
        <v>46183</v>
      </c>
      <c r="B205" s="2" t="s">
        <v>39</v>
      </c>
      <c r="C205" s="3">
        <v>2</v>
      </c>
      <c r="D205" s="4">
        <f t="shared" si="0"/>
        <v>15000</v>
      </c>
      <c r="E205" s="4">
        <v>30000</v>
      </c>
      <c r="F205" s="5"/>
      <c r="G205" s="7" t="str">
        <f t="shared" si="1"/>
        <v>Jun</v>
      </c>
      <c r="H205" s="7" t="str">
        <f t="shared" si="2"/>
        <v>Wed</v>
      </c>
    </row>
    <row r="206" spans="1:8" ht="13.2" x14ac:dyDescent="0.25">
      <c r="A206" s="1">
        <v>46184</v>
      </c>
      <c r="B206" s="2" t="s">
        <v>119</v>
      </c>
      <c r="C206" s="3">
        <v>1</v>
      </c>
      <c r="D206" s="4">
        <f t="shared" si="0"/>
        <v>15000</v>
      </c>
      <c r="E206" s="4">
        <v>15000</v>
      </c>
      <c r="F206" s="5"/>
      <c r="G206" s="7" t="str">
        <f t="shared" si="1"/>
        <v>Jun</v>
      </c>
      <c r="H206" s="7" t="str">
        <f t="shared" si="2"/>
        <v>Thu</v>
      </c>
    </row>
    <row r="207" spans="1:8" ht="13.2" x14ac:dyDescent="0.25">
      <c r="A207" s="1">
        <v>46184</v>
      </c>
      <c r="B207" s="2" t="s">
        <v>61</v>
      </c>
      <c r="C207" s="3">
        <v>1</v>
      </c>
      <c r="D207" s="4">
        <f t="shared" si="0"/>
        <v>15000</v>
      </c>
      <c r="E207" s="4">
        <v>15000</v>
      </c>
      <c r="F207" s="5"/>
      <c r="G207" s="7" t="str">
        <f t="shared" si="1"/>
        <v>Jun</v>
      </c>
      <c r="H207" s="7" t="str">
        <f t="shared" si="2"/>
        <v>Thu</v>
      </c>
    </row>
    <row r="208" spans="1:8" ht="13.2" x14ac:dyDescent="0.25">
      <c r="A208" s="1">
        <v>46184</v>
      </c>
      <c r="B208" s="2" t="s">
        <v>118</v>
      </c>
      <c r="C208" s="3">
        <v>1</v>
      </c>
      <c r="D208" s="4">
        <f t="shared" si="0"/>
        <v>20000</v>
      </c>
      <c r="E208" s="4">
        <v>20000</v>
      </c>
      <c r="F208" s="5"/>
      <c r="G208" s="7" t="str">
        <f t="shared" si="1"/>
        <v>Jun</v>
      </c>
      <c r="H208" s="7" t="str">
        <f t="shared" si="2"/>
        <v>Thu</v>
      </c>
    </row>
    <row r="209" spans="1:8" ht="13.2" x14ac:dyDescent="0.25">
      <c r="A209" s="1">
        <v>46184</v>
      </c>
      <c r="B209" s="2" t="s">
        <v>172</v>
      </c>
      <c r="C209" s="3">
        <v>2</v>
      </c>
      <c r="D209" s="4">
        <f t="shared" si="0"/>
        <v>3000</v>
      </c>
      <c r="E209" s="4">
        <v>6000</v>
      </c>
      <c r="F209" s="5"/>
      <c r="G209" s="7" t="str">
        <f t="shared" si="1"/>
        <v>Jun</v>
      </c>
      <c r="H209" s="7" t="str">
        <f t="shared" si="2"/>
        <v>Thu</v>
      </c>
    </row>
    <row r="210" spans="1:8" ht="13.2" x14ac:dyDescent="0.25">
      <c r="A210" s="1">
        <v>46184</v>
      </c>
      <c r="B210" s="2" t="s">
        <v>162</v>
      </c>
      <c r="C210" s="3">
        <v>1</v>
      </c>
      <c r="D210" s="4">
        <f t="shared" si="0"/>
        <v>40000</v>
      </c>
      <c r="E210" s="4">
        <v>40000</v>
      </c>
      <c r="F210" s="5"/>
      <c r="G210" s="7" t="str">
        <f t="shared" si="1"/>
        <v>Jun</v>
      </c>
      <c r="H210" s="7" t="str">
        <f t="shared" si="2"/>
        <v>Thu</v>
      </c>
    </row>
    <row r="211" spans="1:8" ht="13.2" x14ac:dyDescent="0.25">
      <c r="A211" s="1">
        <v>46184</v>
      </c>
      <c r="B211" s="2" t="s">
        <v>185</v>
      </c>
      <c r="C211" s="3">
        <v>1</v>
      </c>
      <c r="D211" s="4">
        <f t="shared" si="0"/>
        <v>40000</v>
      </c>
      <c r="E211" s="4">
        <v>40000</v>
      </c>
      <c r="F211" s="5" t="s">
        <v>14</v>
      </c>
      <c r="G211" s="7" t="str">
        <f t="shared" si="1"/>
        <v>Jun</v>
      </c>
      <c r="H211" s="7" t="str">
        <f t="shared" si="2"/>
        <v>Thu</v>
      </c>
    </row>
    <row r="212" spans="1:8" ht="13.2" x14ac:dyDescent="0.25">
      <c r="A212" s="1">
        <v>46185</v>
      </c>
      <c r="B212" s="2" t="s">
        <v>74</v>
      </c>
      <c r="C212" s="3">
        <v>1</v>
      </c>
      <c r="D212" s="4">
        <f t="shared" si="0"/>
        <v>15000</v>
      </c>
      <c r="E212" s="4">
        <v>15000</v>
      </c>
      <c r="F212" s="5"/>
      <c r="G212" s="7" t="str">
        <f t="shared" si="1"/>
        <v>Jun</v>
      </c>
      <c r="H212" s="7" t="str">
        <f t="shared" si="2"/>
        <v>Fri</v>
      </c>
    </row>
    <row r="213" spans="1:8" ht="13.2" x14ac:dyDescent="0.25">
      <c r="A213" s="1">
        <v>46185</v>
      </c>
      <c r="B213" s="2" t="s">
        <v>190</v>
      </c>
      <c r="C213" s="3">
        <v>1</v>
      </c>
      <c r="D213" s="4">
        <f t="shared" si="0"/>
        <v>10000</v>
      </c>
      <c r="E213" s="4">
        <v>10000</v>
      </c>
      <c r="F213" s="5"/>
      <c r="G213" s="7" t="str">
        <f t="shared" si="1"/>
        <v>Jun</v>
      </c>
      <c r="H213" s="7" t="str">
        <f t="shared" si="2"/>
        <v>Fri</v>
      </c>
    </row>
    <row r="214" spans="1:8" ht="13.2" x14ac:dyDescent="0.25">
      <c r="A214" s="1">
        <v>46185</v>
      </c>
      <c r="B214" s="2" t="s">
        <v>214</v>
      </c>
      <c r="C214" s="3">
        <v>1</v>
      </c>
      <c r="D214" s="4">
        <f t="shared" si="0"/>
        <v>35000</v>
      </c>
      <c r="E214" s="4">
        <v>35000</v>
      </c>
      <c r="F214" s="5"/>
      <c r="G214" s="7" t="str">
        <f t="shared" si="1"/>
        <v>Jun</v>
      </c>
      <c r="H214" s="7" t="str">
        <f t="shared" si="2"/>
        <v>Fri</v>
      </c>
    </row>
    <row r="215" spans="1:8" ht="13.2" x14ac:dyDescent="0.25">
      <c r="A215" s="1">
        <v>46185</v>
      </c>
      <c r="B215" s="2" t="s">
        <v>27</v>
      </c>
      <c r="C215" s="3">
        <v>1</v>
      </c>
      <c r="D215" s="4">
        <f t="shared" si="0"/>
        <v>17000</v>
      </c>
      <c r="E215" s="4">
        <v>17000</v>
      </c>
      <c r="F215" s="5"/>
      <c r="G215" s="7" t="str">
        <f t="shared" si="1"/>
        <v>Jun</v>
      </c>
      <c r="H215" s="7" t="str">
        <f t="shared" si="2"/>
        <v>Fri</v>
      </c>
    </row>
    <row r="216" spans="1:8" ht="13.2" x14ac:dyDescent="0.25">
      <c r="A216" s="1">
        <v>46186</v>
      </c>
      <c r="B216" s="2" t="s">
        <v>158</v>
      </c>
      <c r="C216" s="3">
        <v>1</v>
      </c>
      <c r="D216" s="4">
        <f t="shared" si="0"/>
        <v>35000</v>
      </c>
      <c r="E216" s="4">
        <v>35000</v>
      </c>
      <c r="F216" s="5"/>
      <c r="G216" s="7" t="str">
        <f t="shared" si="1"/>
        <v>Jun</v>
      </c>
      <c r="H216" s="7" t="str">
        <f t="shared" si="2"/>
        <v>Sat</v>
      </c>
    </row>
    <row r="217" spans="1:8" ht="13.2" x14ac:dyDescent="0.25">
      <c r="A217" s="1">
        <v>46186</v>
      </c>
      <c r="B217" s="2" t="s">
        <v>210</v>
      </c>
      <c r="C217" s="3">
        <v>1</v>
      </c>
      <c r="D217" s="4">
        <f t="shared" si="0"/>
        <v>15000</v>
      </c>
      <c r="E217" s="4">
        <v>15000</v>
      </c>
      <c r="F217" s="5"/>
      <c r="G217" s="7" t="str">
        <f t="shared" si="1"/>
        <v>Jun</v>
      </c>
      <c r="H217" s="7" t="str">
        <f t="shared" si="2"/>
        <v>Sat</v>
      </c>
    </row>
    <row r="218" spans="1:8" ht="13.2" x14ac:dyDescent="0.25">
      <c r="A218" s="1">
        <v>46186</v>
      </c>
      <c r="B218" s="2" t="s">
        <v>10</v>
      </c>
      <c r="C218" s="3">
        <v>1</v>
      </c>
      <c r="D218" s="4">
        <f t="shared" si="0"/>
        <v>27000</v>
      </c>
      <c r="E218" s="4">
        <v>27000</v>
      </c>
      <c r="F218" s="5"/>
      <c r="G218" s="7" t="str">
        <f t="shared" si="1"/>
        <v>Jun</v>
      </c>
      <c r="H218" s="7" t="str">
        <f t="shared" si="2"/>
        <v>Sat</v>
      </c>
    </row>
    <row r="219" spans="1:8" ht="13.2" x14ac:dyDescent="0.25">
      <c r="A219" s="1">
        <v>46186</v>
      </c>
      <c r="B219" s="2" t="s">
        <v>232</v>
      </c>
      <c r="C219" s="3">
        <v>1</v>
      </c>
      <c r="D219" s="4">
        <f t="shared" si="0"/>
        <v>100000</v>
      </c>
      <c r="E219" s="4">
        <v>100000</v>
      </c>
      <c r="F219" s="5"/>
      <c r="G219" s="7" t="str">
        <f t="shared" si="1"/>
        <v>Jun</v>
      </c>
      <c r="H219" s="7" t="str">
        <f t="shared" si="2"/>
        <v>Sat</v>
      </c>
    </row>
    <row r="220" spans="1:8" ht="13.2" x14ac:dyDescent="0.25">
      <c r="A220" s="1">
        <v>46186</v>
      </c>
      <c r="B220" s="2" t="s">
        <v>195</v>
      </c>
      <c r="C220" s="3">
        <v>1</v>
      </c>
      <c r="D220" s="4">
        <f t="shared" si="0"/>
        <v>15000</v>
      </c>
      <c r="E220" s="4">
        <v>15000</v>
      </c>
      <c r="F220" s="5"/>
      <c r="G220" s="7" t="str">
        <f t="shared" si="1"/>
        <v>Jun</v>
      </c>
      <c r="H220" s="7" t="str">
        <f t="shared" si="2"/>
        <v>Sat</v>
      </c>
    </row>
    <row r="221" spans="1:8" ht="13.2" x14ac:dyDescent="0.25">
      <c r="A221" s="1">
        <v>46186</v>
      </c>
      <c r="B221" s="2" t="s">
        <v>70</v>
      </c>
      <c r="C221" s="3">
        <v>1</v>
      </c>
      <c r="D221" s="4">
        <f t="shared" si="0"/>
        <v>25000</v>
      </c>
      <c r="E221" s="4">
        <v>25000</v>
      </c>
      <c r="F221" s="5"/>
      <c r="G221" s="7" t="str">
        <f t="shared" si="1"/>
        <v>Jun</v>
      </c>
      <c r="H221" s="7" t="str">
        <f t="shared" si="2"/>
        <v>Sat</v>
      </c>
    </row>
    <row r="222" spans="1:8" ht="13.2" x14ac:dyDescent="0.25">
      <c r="A222" s="1">
        <v>46188</v>
      </c>
      <c r="B222" s="2" t="s">
        <v>183</v>
      </c>
      <c r="C222" s="3">
        <v>1</v>
      </c>
      <c r="D222" s="4">
        <f t="shared" si="0"/>
        <v>40000</v>
      </c>
      <c r="E222" s="4">
        <v>40000</v>
      </c>
      <c r="F222" s="5"/>
      <c r="G222" s="7" t="str">
        <f t="shared" si="1"/>
        <v>Jun</v>
      </c>
      <c r="H222" s="7" t="str">
        <f t="shared" si="2"/>
        <v>Mon</v>
      </c>
    </row>
    <row r="223" spans="1:8" ht="13.2" x14ac:dyDescent="0.25">
      <c r="A223" s="1">
        <v>46188</v>
      </c>
      <c r="B223" s="2" t="s">
        <v>60</v>
      </c>
      <c r="C223" s="3">
        <v>1</v>
      </c>
      <c r="D223" s="4">
        <f t="shared" si="0"/>
        <v>63000</v>
      </c>
      <c r="E223" s="4">
        <v>63000</v>
      </c>
      <c r="F223" s="5"/>
      <c r="G223" s="7" t="str">
        <f t="shared" si="1"/>
        <v>Jun</v>
      </c>
      <c r="H223" s="7" t="str">
        <f t="shared" si="2"/>
        <v>Mon</v>
      </c>
    </row>
    <row r="224" spans="1:8" ht="13.2" x14ac:dyDescent="0.25">
      <c r="A224" s="1">
        <v>46188</v>
      </c>
      <c r="B224" s="2" t="s">
        <v>233</v>
      </c>
      <c r="C224" s="3">
        <v>1</v>
      </c>
      <c r="D224" s="4">
        <f t="shared" si="0"/>
        <v>35000</v>
      </c>
      <c r="E224" s="4">
        <v>35000</v>
      </c>
      <c r="F224" s="5"/>
      <c r="G224" s="7" t="str">
        <f t="shared" si="1"/>
        <v>Jun</v>
      </c>
      <c r="H224" s="7" t="str">
        <f t="shared" si="2"/>
        <v>Mon</v>
      </c>
    </row>
    <row r="225" spans="1:8" ht="13.2" x14ac:dyDescent="0.25">
      <c r="A225" s="1">
        <v>46188</v>
      </c>
      <c r="B225" s="2" t="s">
        <v>179</v>
      </c>
      <c r="C225" s="3">
        <v>1</v>
      </c>
      <c r="D225" s="4">
        <f t="shared" si="0"/>
        <v>42000</v>
      </c>
      <c r="E225" s="4">
        <v>42000</v>
      </c>
      <c r="F225" s="5"/>
      <c r="G225" s="7" t="str">
        <f t="shared" si="1"/>
        <v>Jun</v>
      </c>
      <c r="H225" s="7" t="str">
        <f t="shared" si="2"/>
        <v>Mon</v>
      </c>
    </row>
    <row r="226" spans="1:8" ht="13.2" x14ac:dyDescent="0.25">
      <c r="A226" s="1">
        <v>46188</v>
      </c>
      <c r="B226" s="2" t="s">
        <v>68</v>
      </c>
      <c r="C226" s="3">
        <v>1</v>
      </c>
      <c r="D226" s="4">
        <f t="shared" si="0"/>
        <v>15000</v>
      </c>
      <c r="E226" s="4">
        <v>15000</v>
      </c>
      <c r="F226" s="5"/>
      <c r="G226" s="7" t="str">
        <f t="shared" si="1"/>
        <v>Jun</v>
      </c>
      <c r="H226" s="7" t="str">
        <f t="shared" si="2"/>
        <v>Mon</v>
      </c>
    </row>
    <row r="227" spans="1:8" ht="13.2" x14ac:dyDescent="0.25">
      <c r="A227" s="1">
        <v>46188</v>
      </c>
      <c r="B227" s="2" t="s">
        <v>18</v>
      </c>
      <c r="C227" s="3">
        <v>1</v>
      </c>
      <c r="D227" s="4">
        <f t="shared" si="0"/>
        <v>10000</v>
      </c>
      <c r="E227" s="4">
        <v>10000</v>
      </c>
      <c r="F227" s="5"/>
      <c r="G227" s="7" t="str">
        <f t="shared" si="1"/>
        <v>Jun</v>
      </c>
      <c r="H227" s="7" t="str">
        <f t="shared" si="2"/>
        <v>Mon</v>
      </c>
    </row>
    <row r="228" spans="1:8" ht="13.2" x14ac:dyDescent="0.25">
      <c r="A228" s="1">
        <v>46188</v>
      </c>
      <c r="B228" s="2" t="s">
        <v>109</v>
      </c>
      <c r="C228" s="3">
        <v>1</v>
      </c>
      <c r="D228" s="4">
        <f t="shared" si="0"/>
        <v>45000</v>
      </c>
      <c r="E228" s="4">
        <v>45000</v>
      </c>
      <c r="F228" s="5"/>
      <c r="G228" s="7" t="str">
        <f t="shared" si="1"/>
        <v>Jun</v>
      </c>
      <c r="H228" s="7" t="str">
        <f t="shared" si="2"/>
        <v>Mon</v>
      </c>
    </row>
    <row r="229" spans="1:8" ht="13.2" x14ac:dyDescent="0.25">
      <c r="A229" s="1">
        <v>46188</v>
      </c>
      <c r="B229" s="2" t="s">
        <v>63</v>
      </c>
      <c r="C229" s="3">
        <v>1</v>
      </c>
      <c r="D229" s="4">
        <f t="shared" si="0"/>
        <v>12000</v>
      </c>
      <c r="E229" s="4">
        <v>12000</v>
      </c>
      <c r="F229" s="5"/>
      <c r="G229" s="7" t="str">
        <f t="shared" si="1"/>
        <v>Jun</v>
      </c>
      <c r="H229" s="7" t="str">
        <f t="shared" si="2"/>
        <v>Mon</v>
      </c>
    </row>
    <row r="230" spans="1:8" ht="13.2" x14ac:dyDescent="0.25">
      <c r="A230" s="1">
        <v>46189</v>
      </c>
      <c r="B230" s="2" t="s">
        <v>192</v>
      </c>
      <c r="C230" s="3">
        <v>1</v>
      </c>
      <c r="D230" s="4">
        <f t="shared" si="0"/>
        <v>20000</v>
      </c>
      <c r="E230" s="4">
        <v>20000</v>
      </c>
      <c r="F230" s="5"/>
      <c r="G230" s="7" t="str">
        <f t="shared" si="1"/>
        <v>Jun</v>
      </c>
      <c r="H230" s="7" t="str">
        <f t="shared" si="2"/>
        <v>Tue</v>
      </c>
    </row>
    <row r="231" spans="1:8" ht="13.2" x14ac:dyDescent="0.25">
      <c r="A231" s="1">
        <v>46190</v>
      </c>
      <c r="B231" s="2" t="s">
        <v>224</v>
      </c>
      <c r="C231" s="3">
        <v>1</v>
      </c>
      <c r="D231" s="4">
        <f t="shared" si="0"/>
        <v>20000</v>
      </c>
      <c r="E231" s="4">
        <v>20000</v>
      </c>
      <c r="F231" s="5"/>
      <c r="G231" s="7" t="str">
        <f t="shared" si="1"/>
        <v>Jun</v>
      </c>
      <c r="H231" s="7" t="str">
        <f t="shared" si="2"/>
        <v>Wed</v>
      </c>
    </row>
    <row r="232" spans="1:8" ht="13.2" x14ac:dyDescent="0.25">
      <c r="A232" s="1">
        <v>46190</v>
      </c>
      <c r="B232" s="2" t="s">
        <v>18</v>
      </c>
      <c r="C232" s="3">
        <v>1</v>
      </c>
      <c r="D232" s="4">
        <f t="shared" si="0"/>
        <v>10000</v>
      </c>
      <c r="E232" s="4">
        <v>10000</v>
      </c>
      <c r="F232" s="5"/>
      <c r="G232" s="7" t="str">
        <f t="shared" si="1"/>
        <v>Jun</v>
      </c>
      <c r="H232" s="7" t="str">
        <f t="shared" si="2"/>
        <v>Wed</v>
      </c>
    </row>
    <row r="233" spans="1:8" ht="13.2" x14ac:dyDescent="0.25">
      <c r="A233" s="1">
        <v>46190</v>
      </c>
      <c r="B233" s="2" t="s">
        <v>209</v>
      </c>
      <c r="C233" s="3">
        <v>1</v>
      </c>
      <c r="D233" s="4">
        <f t="shared" si="0"/>
        <v>35000</v>
      </c>
      <c r="E233" s="4">
        <v>35000</v>
      </c>
      <c r="F233" s="5"/>
      <c r="G233" s="7" t="str">
        <f t="shared" si="1"/>
        <v>Jun</v>
      </c>
      <c r="H233" s="7" t="str">
        <f t="shared" si="2"/>
        <v>Wed</v>
      </c>
    </row>
    <row r="234" spans="1:8" ht="13.2" x14ac:dyDescent="0.25">
      <c r="A234" s="1">
        <v>46190</v>
      </c>
      <c r="B234" s="2" t="s">
        <v>146</v>
      </c>
      <c r="C234" s="3">
        <v>1</v>
      </c>
      <c r="D234" s="4">
        <f t="shared" si="0"/>
        <v>72000</v>
      </c>
      <c r="E234" s="4">
        <v>72000</v>
      </c>
      <c r="F234" s="5"/>
      <c r="G234" s="7" t="str">
        <f t="shared" si="1"/>
        <v>Jun</v>
      </c>
      <c r="H234" s="7" t="str">
        <f t="shared" si="2"/>
        <v>Wed</v>
      </c>
    </row>
    <row r="235" spans="1:8" ht="13.2" x14ac:dyDescent="0.25">
      <c r="A235" s="1">
        <v>46190</v>
      </c>
      <c r="B235" s="2" t="s">
        <v>10</v>
      </c>
      <c r="C235" s="3">
        <v>1</v>
      </c>
      <c r="D235" s="4">
        <f t="shared" si="0"/>
        <v>27000</v>
      </c>
      <c r="E235" s="4">
        <v>27000</v>
      </c>
      <c r="F235" s="5"/>
      <c r="G235" s="7" t="str">
        <f t="shared" si="1"/>
        <v>Jun</v>
      </c>
      <c r="H235" s="7" t="str">
        <f t="shared" si="2"/>
        <v>Wed</v>
      </c>
    </row>
    <row r="236" spans="1:8" ht="13.2" x14ac:dyDescent="0.25">
      <c r="A236" s="1">
        <v>46190</v>
      </c>
      <c r="B236" s="2" t="s">
        <v>114</v>
      </c>
      <c r="C236" s="3">
        <v>1</v>
      </c>
      <c r="D236" s="4">
        <f t="shared" si="0"/>
        <v>17000</v>
      </c>
      <c r="E236" s="4">
        <v>17000</v>
      </c>
      <c r="F236" s="5"/>
      <c r="G236" s="7" t="str">
        <f t="shared" si="1"/>
        <v>Jun</v>
      </c>
      <c r="H236" s="7" t="str">
        <f t="shared" si="2"/>
        <v>Wed</v>
      </c>
    </row>
    <row r="237" spans="1:8" ht="13.2" x14ac:dyDescent="0.25">
      <c r="A237" s="1">
        <v>46190</v>
      </c>
      <c r="B237" s="2" t="s">
        <v>24</v>
      </c>
      <c r="C237" s="3">
        <v>1</v>
      </c>
      <c r="D237" s="4">
        <f t="shared" si="0"/>
        <v>17000</v>
      </c>
      <c r="E237" s="4">
        <v>17000</v>
      </c>
      <c r="F237" s="5"/>
      <c r="G237" s="7" t="str">
        <f t="shared" si="1"/>
        <v>Jun</v>
      </c>
      <c r="H237" s="7" t="str">
        <f t="shared" si="2"/>
        <v>Wed</v>
      </c>
    </row>
    <row r="238" spans="1:8" ht="13.2" x14ac:dyDescent="0.25">
      <c r="A238" s="1">
        <v>46190</v>
      </c>
      <c r="B238" s="2" t="s">
        <v>16</v>
      </c>
      <c r="C238" s="3">
        <v>2</v>
      </c>
      <c r="D238" s="4">
        <f t="shared" si="0"/>
        <v>10000</v>
      </c>
      <c r="E238" s="4">
        <v>20000</v>
      </c>
      <c r="F238" s="5"/>
      <c r="G238" s="7" t="str">
        <f t="shared" si="1"/>
        <v>Jun</v>
      </c>
      <c r="H238" s="7" t="str">
        <f t="shared" si="2"/>
        <v>Wed</v>
      </c>
    </row>
    <row r="239" spans="1:8" ht="13.2" x14ac:dyDescent="0.25">
      <c r="A239" s="1">
        <v>46190</v>
      </c>
      <c r="B239" s="2" t="s">
        <v>18</v>
      </c>
      <c r="C239" s="3">
        <v>1</v>
      </c>
      <c r="D239" s="4">
        <f t="shared" si="0"/>
        <v>10000</v>
      </c>
      <c r="E239" s="4">
        <v>10000</v>
      </c>
      <c r="F239" s="5"/>
      <c r="G239" s="7" t="str">
        <f t="shared" si="1"/>
        <v>Jun</v>
      </c>
      <c r="H239" s="7" t="str">
        <f t="shared" si="2"/>
        <v>Wed</v>
      </c>
    </row>
    <row r="240" spans="1:8" ht="13.2" x14ac:dyDescent="0.25">
      <c r="A240" s="1">
        <v>46192</v>
      </c>
      <c r="B240" s="2" t="s">
        <v>105</v>
      </c>
      <c r="C240" s="3">
        <v>1</v>
      </c>
      <c r="D240" s="4">
        <f t="shared" si="0"/>
        <v>160000</v>
      </c>
      <c r="E240" s="4">
        <v>160000</v>
      </c>
      <c r="F240" s="5"/>
      <c r="G240" s="7" t="str">
        <f t="shared" si="1"/>
        <v>Jun</v>
      </c>
      <c r="H240" s="7" t="str">
        <f t="shared" si="2"/>
        <v>Fri</v>
      </c>
    </row>
    <row r="241" spans="1:8" ht="13.2" x14ac:dyDescent="0.25">
      <c r="A241" s="1">
        <v>46192</v>
      </c>
      <c r="B241" s="2" t="s">
        <v>109</v>
      </c>
      <c r="C241" s="3">
        <v>1</v>
      </c>
      <c r="D241" s="4">
        <f t="shared" si="0"/>
        <v>45000</v>
      </c>
      <c r="E241" s="4">
        <v>45000</v>
      </c>
      <c r="F241" s="5"/>
      <c r="G241" s="7" t="str">
        <f t="shared" si="1"/>
        <v>Jun</v>
      </c>
      <c r="H241" s="7" t="str">
        <f t="shared" si="2"/>
        <v>Fri</v>
      </c>
    </row>
    <row r="242" spans="1:8" ht="13.2" x14ac:dyDescent="0.25">
      <c r="A242" s="1">
        <v>46192</v>
      </c>
      <c r="B242" s="2" t="s">
        <v>127</v>
      </c>
      <c r="C242" s="3">
        <v>1</v>
      </c>
      <c r="D242" s="4">
        <f t="shared" si="0"/>
        <v>122000</v>
      </c>
      <c r="E242" s="4">
        <v>122000</v>
      </c>
      <c r="F242" s="5"/>
      <c r="G242" s="7" t="str">
        <f t="shared" si="1"/>
        <v>Jun</v>
      </c>
      <c r="H242" s="7" t="str">
        <f t="shared" si="2"/>
        <v>Fri</v>
      </c>
    </row>
    <row r="243" spans="1:8" ht="13.2" x14ac:dyDescent="0.25">
      <c r="A243" s="1">
        <v>46192</v>
      </c>
      <c r="B243" s="2" t="s">
        <v>114</v>
      </c>
      <c r="C243" s="3">
        <v>1</v>
      </c>
      <c r="D243" s="4">
        <f t="shared" si="0"/>
        <v>17000</v>
      </c>
      <c r="E243" s="4">
        <v>17000</v>
      </c>
      <c r="F243" s="5"/>
      <c r="G243" s="7" t="str">
        <f t="shared" si="1"/>
        <v>Jun</v>
      </c>
      <c r="H243" s="7" t="str">
        <f t="shared" si="2"/>
        <v>Fri</v>
      </c>
    </row>
    <row r="244" spans="1:8" ht="13.2" x14ac:dyDescent="0.25">
      <c r="A244" s="1">
        <v>46192</v>
      </c>
      <c r="B244" s="2" t="s">
        <v>37</v>
      </c>
      <c r="C244" s="3">
        <v>1</v>
      </c>
      <c r="D244" s="4">
        <f t="shared" si="0"/>
        <v>12000</v>
      </c>
      <c r="E244" s="4">
        <v>12000</v>
      </c>
      <c r="F244" s="5"/>
      <c r="G244" s="7" t="str">
        <f t="shared" si="1"/>
        <v>Jun</v>
      </c>
      <c r="H244" s="7" t="str">
        <f t="shared" si="2"/>
        <v>Fri</v>
      </c>
    </row>
    <row r="245" spans="1:8" ht="13.2" x14ac:dyDescent="0.25">
      <c r="A245" s="1">
        <v>46192</v>
      </c>
      <c r="B245" s="2" t="s">
        <v>125</v>
      </c>
      <c r="C245" s="3">
        <v>1</v>
      </c>
      <c r="D245" s="4">
        <f t="shared" si="0"/>
        <v>12000</v>
      </c>
      <c r="E245" s="4">
        <v>12000</v>
      </c>
      <c r="F245" s="5"/>
      <c r="G245" s="7" t="str">
        <f t="shared" si="1"/>
        <v>Jun</v>
      </c>
      <c r="H245" s="7" t="str">
        <f t="shared" si="2"/>
        <v>Fri</v>
      </c>
    </row>
    <row r="246" spans="1:8" ht="13.2" x14ac:dyDescent="0.25">
      <c r="A246" s="1">
        <v>46192</v>
      </c>
      <c r="B246" s="2" t="s">
        <v>17</v>
      </c>
      <c r="C246" s="3">
        <v>1</v>
      </c>
      <c r="D246" s="4">
        <f t="shared" si="0"/>
        <v>10000</v>
      </c>
      <c r="E246" s="4">
        <v>10000</v>
      </c>
      <c r="F246" s="5"/>
      <c r="G246" s="7" t="str">
        <f t="shared" si="1"/>
        <v>Jun</v>
      </c>
      <c r="H246" s="7" t="str">
        <f t="shared" si="2"/>
        <v>Fri</v>
      </c>
    </row>
    <row r="247" spans="1:8" ht="13.2" x14ac:dyDescent="0.25">
      <c r="A247" s="1">
        <v>46192</v>
      </c>
      <c r="B247" s="2" t="s">
        <v>173</v>
      </c>
      <c r="C247" s="3">
        <v>1</v>
      </c>
      <c r="D247" s="4">
        <f t="shared" si="0"/>
        <v>5000</v>
      </c>
      <c r="E247" s="4">
        <v>5000</v>
      </c>
      <c r="F247" s="5"/>
      <c r="G247" s="7" t="str">
        <f t="shared" si="1"/>
        <v>Jun</v>
      </c>
      <c r="H247" s="7" t="str">
        <f t="shared" si="2"/>
        <v>Fri</v>
      </c>
    </row>
    <row r="248" spans="1:8" ht="13.2" x14ac:dyDescent="0.25">
      <c r="A248" s="1">
        <v>46192</v>
      </c>
      <c r="B248" s="2" t="s">
        <v>11</v>
      </c>
      <c r="C248" s="3">
        <v>1</v>
      </c>
      <c r="D248" s="4">
        <f t="shared" si="0"/>
        <v>25000</v>
      </c>
      <c r="E248" s="4">
        <v>25000</v>
      </c>
      <c r="F248" s="5"/>
      <c r="G248" s="7" t="str">
        <f t="shared" si="1"/>
        <v>Jun</v>
      </c>
      <c r="H248" s="7" t="str">
        <f t="shared" si="2"/>
        <v>Fri</v>
      </c>
    </row>
    <row r="249" spans="1:8" ht="13.2" x14ac:dyDescent="0.25">
      <c r="A249" s="1">
        <v>46192</v>
      </c>
      <c r="B249" s="2" t="s">
        <v>134</v>
      </c>
      <c r="C249" s="3">
        <v>1</v>
      </c>
      <c r="D249" s="4">
        <f t="shared" si="0"/>
        <v>15000</v>
      </c>
      <c r="E249" s="4">
        <v>15000</v>
      </c>
      <c r="F249" s="5"/>
      <c r="G249" s="7" t="str">
        <f t="shared" si="1"/>
        <v>Jun</v>
      </c>
      <c r="H249" s="7" t="str">
        <f t="shared" si="2"/>
        <v>Fri</v>
      </c>
    </row>
    <row r="250" spans="1:8" ht="13.2" x14ac:dyDescent="0.25">
      <c r="A250" s="1">
        <v>46193</v>
      </c>
      <c r="B250" s="2" t="s">
        <v>156</v>
      </c>
      <c r="C250" s="3">
        <v>1</v>
      </c>
      <c r="D250" s="4">
        <f t="shared" si="0"/>
        <v>32000</v>
      </c>
      <c r="E250" s="4">
        <v>32000</v>
      </c>
      <c r="F250" s="5"/>
      <c r="G250" s="7" t="str">
        <f t="shared" si="1"/>
        <v>Jun</v>
      </c>
      <c r="H250" s="7" t="str">
        <f t="shared" si="2"/>
        <v>Sat</v>
      </c>
    </row>
    <row r="251" spans="1:8" ht="13.2" x14ac:dyDescent="0.25">
      <c r="A251" s="1">
        <v>46193</v>
      </c>
      <c r="B251" s="2" t="s">
        <v>157</v>
      </c>
      <c r="C251" s="3">
        <v>1</v>
      </c>
      <c r="D251" s="4">
        <f t="shared" si="0"/>
        <v>32000</v>
      </c>
      <c r="E251" s="4">
        <v>32000</v>
      </c>
      <c r="F251" s="5"/>
      <c r="G251" s="7" t="str">
        <f t="shared" si="1"/>
        <v>Jun</v>
      </c>
      <c r="H251" s="7" t="str">
        <f t="shared" si="2"/>
        <v>Sat</v>
      </c>
    </row>
    <row r="252" spans="1:8" ht="13.2" x14ac:dyDescent="0.25">
      <c r="A252" s="1">
        <v>46193</v>
      </c>
      <c r="B252" s="2" t="s">
        <v>188</v>
      </c>
      <c r="C252" s="3">
        <v>1</v>
      </c>
      <c r="D252" s="4">
        <f t="shared" si="0"/>
        <v>10000</v>
      </c>
      <c r="E252" s="4">
        <v>10000</v>
      </c>
      <c r="F252" s="5"/>
      <c r="G252" s="7" t="str">
        <f t="shared" si="1"/>
        <v>Jun</v>
      </c>
      <c r="H252" s="7" t="str">
        <f t="shared" si="2"/>
        <v>Sat</v>
      </c>
    </row>
    <row r="253" spans="1:8" ht="13.2" x14ac:dyDescent="0.25">
      <c r="A253" s="1">
        <v>46193</v>
      </c>
      <c r="B253" s="2" t="s">
        <v>30</v>
      </c>
      <c r="C253" s="3">
        <v>1</v>
      </c>
      <c r="D253" s="4">
        <f t="shared" si="0"/>
        <v>83000</v>
      </c>
      <c r="E253" s="4">
        <v>83000</v>
      </c>
      <c r="F253" s="5"/>
      <c r="G253" s="7" t="str">
        <f t="shared" si="1"/>
        <v>Jun</v>
      </c>
      <c r="H253" s="7" t="str">
        <f t="shared" si="2"/>
        <v>Sat</v>
      </c>
    </row>
    <row r="254" spans="1:8" ht="13.2" x14ac:dyDescent="0.25">
      <c r="A254" s="1">
        <v>46193</v>
      </c>
      <c r="B254" s="2" t="s">
        <v>116</v>
      </c>
      <c r="C254" s="3">
        <v>1</v>
      </c>
      <c r="D254" s="4">
        <f t="shared" si="0"/>
        <v>25000</v>
      </c>
      <c r="E254" s="4">
        <v>25000</v>
      </c>
      <c r="F254" s="5"/>
      <c r="G254" s="7" t="str">
        <f t="shared" si="1"/>
        <v>Jun</v>
      </c>
      <c r="H254" s="7" t="str">
        <f t="shared" si="2"/>
        <v>Sat</v>
      </c>
    </row>
    <row r="255" spans="1:8" ht="13.2" x14ac:dyDescent="0.25">
      <c r="A255" s="1">
        <v>46193</v>
      </c>
      <c r="B255" s="2" t="s">
        <v>132</v>
      </c>
      <c r="C255" s="3">
        <v>1</v>
      </c>
      <c r="D255" s="4">
        <f t="shared" si="0"/>
        <v>25000</v>
      </c>
      <c r="E255" s="4">
        <v>25000</v>
      </c>
      <c r="F255" s="5"/>
      <c r="G255" s="7" t="str">
        <f t="shared" si="1"/>
        <v>Jun</v>
      </c>
      <c r="H255" s="7" t="str">
        <f t="shared" si="2"/>
        <v>Sat</v>
      </c>
    </row>
    <row r="256" spans="1:8" ht="13.2" x14ac:dyDescent="0.25">
      <c r="A256" s="1">
        <v>46193</v>
      </c>
      <c r="B256" s="2" t="s">
        <v>207</v>
      </c>
      <c r="C256" s="3">
        <v>1</v>
      </c>
      <c r="D256" s="4">
        <f t="shared" si="0"/>
        <v>22000</v>
      </c>
      <c r="E256" s="4">
        <v>22000</v>
      </c>
      <c r="F256" s="5"/>
      <c r="G256" s="7" t="str">
        <f t="shared" si="1"/>
        <v>Jun</v>
      </c>
      <c r="H256" s="7" t="str">
        <f t="shared" si="2"/>
        <v>Sat</v>
      </c>
    </row>
    <row r="257" spans="1:8" ht="13.2" x14ac:dyDescent="0.25">
      <c r="A257" s="1">
        <v>46193</v>
      </c>
      <c r="B257" s="2" t="s">
        <v>169</v>
      </c>
      <c r="C257" s="3">
        <v>2</v>
      </c>
      <c r="D257" s="4">
        <f t="shared" ref="D257:D425" si="3">E257/C257</f>
        <v>5000</v>
      </c>
      <c r="E257" s="4">
        <v>10000</v>
      </c>
      <c r="F257" s="5"/>
      <c r="G257" s="7" t="str">
        <f t="shared" ref="G257:G425" si="4">TEXT(A257,"mmm")</f>
        <v>Jun</v>
      </c>
      <c r="H257" s="7" t="str">
        <f t="shared" ref="H257:H425" si="5">TEXT(A257, "ddd")</f>
        <v>Sat</v>
      </c>
    </row>
    <row r="258" spans="1:8" ht="13.2" x14ac:dyDescent="0.25">
      <c r="A258" s="1">
        <v>46194</v>
      </c>
      <c r="B258" s="2" t="s">
        <v>20</v>
      </c>
      <c r="C258" s="3">
        <v>1</v>
      </c>
      <c r="D258" s="4">
        <f t="shared" si="3"/>
        <v>25000</v>
      </c>
      <c r="E258" s="4">
        <v>25000</v>
      </c>
      <c r="F258" s="5"/>
      <c r="G258" s="7" t="str">
        <f t="shared" si="4"/>
        <v>Jun</v>
      </c>
      <c r="H258" s="7" t="str">
        <f t="shared" si="5"/>
        <v>Sun</v>
      </c>
    </row>
    <row r="259" spans="1:8" ht="13.2" x14ac:dyDescent="0.25">
      <c r="A259" s="1">
        <v>46194</v>
      </c>
      <c r="B259" s="2" t="s">
        <v>10</v>
      </c>
      <c r="C259" s="3">
        <v>1</v>
      </c>
      <c r="D259" s="4">
        <f t="shared" si="3"/>
        <v>25000</v>
      </c>
      <c r="E259" s="4">
        <v>25000</v>
      </c>
      <c r="F259" s="5"/>
      <c r="G259" s="7" t="str">
        <f t="shared" si="4"/>
        <v>Jun</v>
      </c>
      <c r="H259" s="7" t="str">
        <f t="shared" si="5"/>
        <v>Sun</v>
      </c>
    </row>
    <row r="260" spans="1:8" ht="13.2" x14ac:dyDescent="0.25">
      <c r="A260" s="1">
        <v>46195</v>
      </c>
      <c r="B260" s="2" t="s">
        <v>56</v>
      </c>
      <c r="C260" s="3">
        <v>1</v>
      </c>
      <c r="D260" s="4">
        <f t="shared" si="3"/>
        <v>6000</v>
      </c>
      <c r="E260" s="4">
        <v>6000</v>
      </c>
      <c r="F260" s="5"/>
      <c r="G260" s="7" t="str">
        <f t="shared" si="4"/>
        <v>Jun</v>
      </c>
      <c r="H260" s="7" t="str">
        <f t="shared" si="5"/>
        <v>Mon</v>
      </c>
    </row>
    <row r="261" spans="1:8" ht="13.2" x14ac:dyDescent="0.25">
      <c r="A261" s="1">
        <v>46197</v>
      </c>
      <c r="B261" s="2" t="s">
        <v>180</v>
      </c>
      <c r="C261" s="3">
        <v>1</v>
      </c>
      <c r="D261" s="4">
        <f t="shared" si="3"/>
        <v>32000</v>
      </c>
      <c r="E261" s="4">
        <v>32000</v>
      </c>
      <c r="F261" s="5"/>
      <c r="G261" s="7" t="str">
        <f t="shared" si="4"/>
        <v>Jun</v>
      </c>
      <c r="H261" s="7" t="str">
        <f t="shared" si="5"/>
        <v>Wed</v>
      </c>
    </row>
    <row r="262" spans="1:8" ht="13.2" x14ac:dyDescent="0.25">
      <c r="A262" s="1">
        <v>46197</v>
      </c>
      <c r="B262" s="2" t="s">
        <v>10</v>
      </c>
      <c r="C262" s="3">
        <v>1</v>
      </c>
      <c r="D262" s="4">
        <f t="shared" si="3"/>
        <v>25000</v>
      </c>
      <c r="E262" s="4">
        <v>25000</v>
      </c>
      <c r="F262" s="5"/>
      <c r="G262" s="7" t="str">
        <f t="shared" si="4"/>
        <v>Jun</v>
      </c>
      <c r="H262" s="7" t="str">
        <f t="shared" si="5"/>
        <v>Wed</v>
      </c>
    </row>
    <row r="263" spans="1:8" ht="13.2" x14ac:dyDescent="0.25">
      <c r="A263" s="1">
        <v>46197</v>
      </c>
      <c r="B263" s="2" t="s">
        <v>33</v>
      </c>
      <c r="C263" s="3">
        <v>1</v>
      </c>
      <c r="D263" s="4">
        <f t="shared" si="3"/>
        <v>12000</v>
      </c>
      <c r="E263" s="4">
        <v>12000</v>
      </c>
      <c r="F263" s="5"/>
      <c r="G263" s="7" t="str">
        <f t="shared" si="4"/>
        <v>Jun</v>
      </c>
      <c r="H263" s="7" t="str">
        <f t="shared" si="5"/>
        <v>Wed</v>
      </c>
    </row>
    <row r="264" spans="1:8" ht="13.2" x14ac:dyDescent="0.25">
      <c r="A264" s="1">
        <v>46197</v>
      </c>
      <c r="B264" s="2" t="s">
        <v>201</v>
      </c>
      <c r="C264" s="3">
        <v>1</v>
      </c>
      <c r="D264" s="4">
        <f t="shared" si="3"/>
        <v>12000</v>
      </c>
      <c r="E264" s="4">
        <v>12000</v>
      </c>
      <c r="F264" s="5"/>
      <c r="G264" s="7" t="str">
        <f t="shared" si="4"/>
        <v>Jun</v>
      </c>
      <c r="H264" s="7" t="str">
        <f t="shared" si="5"/>
        <v>Wed</v>
      </c>
    </row>
    <row r="265" spans="1:8" ht="13.2" x14ac:dyDescent="0.25">
      <c r="A265" s="1">
        <v>46197</v>
      </c>
      <c r="B265" s="2" t="s">
        <v>164</v>
      </c>
      <c r="C265" s="3">
        <v>1</v>
      </c>
      <c r="D265" s="4">
        <f t="shared" si="3"/>
        <v>12000</v>
      </c>
      <c r="E265" s="4">
        <v>12000</v>
      </c>
      <c r="F265" s="5"/>
      <c r="G265" s="7" t="str">
        <f t="shared" si="4"/>
        <v>Jun</v>
      </c>
      <c r="H265" s="7" t="str">
        <f t="shared" si="5"/>
        <v>Wed</v>
      </c>
    </row>
    <row r="266" spans="1:8" ht="13.2" x14ac:dyDescent="0.25">
      <c r="A266" s="1">
        <v>46197</v>
      </c>
      <c r="B266" s="2" t="s">
        <v>183</v>
      </c>
      <c r="C266" s="3">
        <v>1</v>
      </c>
      <c r="D266" s="4">
        <f t="shared" si="3"/>
        <v>40000</v>
      </c>
      <c r="E266" s="4">
        <v>40000</v>
      </c>
      <c r="F266" s="5"/>
      <c r="G266" s="7" t="str">
        <f t="shared" si="4"/>
        <v>Jun</v>
      </c>
      <c r="H266" s="7" t="str">
        <f t="shared" si="5"/>
        <v>Wed</v>
      </c>
    </row>
    <row r="267" spans="1:8" ht="13.2" x14ac:dyDescent="0.25">
      <c r="A267" s="1">
        <v>46197</v>
      </c>
      <c r="B267" s="2" t="s">
        <v>129</v>
      </c>
      <c r="C267" s="3">
        <v>1</v>
      </c>
      <c r="D267" s="4">
        <f t="shared" si="3"/>
        <v>14000</v>
      </c>
      <c r="E267" s="4">
        <v>14000</v>
      </c>
      <c r="F267" s="5"/>
      <c r="G267" s="7" t="str">
        <f t="shared" si="4"/>
        <v>Jun</v>
      </c>
      <c r="H267" s="7" t="str">
        <f t="shared" si="5"/>
        <v>Wed</v>
      </c>
    </row>
    <row r="268" spans="1:8" ht="13.2" x14ac:dyDescent="0.25">
      <c r="A268" s="1">
        <v>46197</v>
      </c>
      <c r="B268" s="2" t="s">
        <v>40</v>
      </c>
      <c r="C268" s="3">
        <v>2</v>
      </c>
      <c r="D268" s="4">
        <f t="shared" si="3"/>
        <v>7000</v>
      </c>
      <c r="E268" s="4">
        <v>14000</v>
      </c>
      <c r="F268" s="5"/>
      <c r="G268" s="7" t="str">
        <f t="shared" si="4"/>
        <v>Jun</v>
      </c>
      <c r="H268" s="7" t="str">
        <f t="shared" si="5"/>
        <v>Wed</v>
      </c>
    </row>
    <row r="269" spans="1:8" ht="13.2" x14ac:dyDescent="0.25">
      <c r="A269" s="1">
        <v>46197</v>
      </c>
      <c r="B269" s="2" t="s">
        <v>104</v>
      </c>
      <c r="C269" s="3">
        <v>1</v>
      </c>
      <c r="D269" s="4">
        <f t="shared" si="3"/>
        <v>42000</v>
      </c>
      <c r="E269" s="4">
        <v>42000</v>
      </c>
      <c r="F269" s="5"/>
      <c r="G269" s="7" t="str">
        <f t="shared" si="4"/>
        <v>Jun</v>
      </c>
      <c r="H269" s="7" t="str">
        <f t="shared" si="5"/>
        <v>Wed</v>
      </c>
    </row>
    <row r="270" spans="1:8" ht="13.2" x14ac:dyDescent="0.25">
      <c r="A270" s="1">
        <v>46197</v>
      </c>
      <c r="B270" s="2" t="s">
        <v>88</v>
      </c>
      <c r="C270" s="3">
        <v>1</v>
      </c>
      <c r="D270" s="4">
        <f t="shared" si="3"/>
        <v>35000</v>
      </c>
      <c r="E270" s="4">
        <v>35000</v>
      </c>
      <c r="F270" s="5"/>
      <c r="G270" s="7" t="str">
        <f t="shared" si="4"/>
        <v>Jun</v>
      </c>
      <c r="H270" s="7" t="str">
        <f t="shared" si="5"/>
        <v>Wed</v>
      </c>
    </row>
    <row r="271" spans="1:8" ht="13.2" x14ac:dyDescent="0.25">
      <c r="A271" s="1">
        <v>46197</v>
      </c>
      <c r="B271" s="2" t="s">
        <v>215</v>
      </c>
      <c r="C271" s="3">
        <v>1</v>
      </c>
      <c r="D271" s="4">
        <f t="shared" si="3"/>
        <v>63000</v>
      </c>
      <c r="E271" s="4">
        <v>63000</v>
      </c>
      <c r="F271" s="5"/>
      <c r="G271" s="7" t="str">
        <f t="shared" si="4"/>
        <v>Jun</v>
      </c>
      <c r="H271" s="7" t="str">
        <f t="shared" si="5"/>
        <v>Wed</v>
      </c>
    </row>
    <row r="272" spans="1:8" ht="13.2" x14ac:dyDescent="0.25">
      <c r="A272" s="1">
        <v>46197</v>
      </c>
      <c r="B272" s="2" t="s">
        <v>10</v>
      </c>
      <c r="C272" s="3">
        <v>1</v>
      </c>
      <c r="D272" s="4">
        <f t="shared" si="3"/>
        <v>27000</v>
      </c>
      <c r="E272" s="4">
        <v>27000</v>
      </c>
      <c r="F272" s="5"/>
      <c r="G272" s="7" t="str">
        <f t="shared" si="4"/>
        <v>Jun</v>
      </c>
      <c r="H272" s="7" t="str">
        <f t="shared" si="5"/>
        <v>Wed</v>
      </c>
    </row>
    <row r="273" spans="1:8" ht="13.2" x14ac:dyDescent="0.25">
      <c r="A273" s="1">
        <v>46197</v>
      </c>
      <c r="B273" s="2" t="s">
        <v>37</v>
      </c>
      <c r="C273" s="3">
        <v>1</v>
      </c>
      <c r="D273" s="4">
        <f t="shared" si="3"/>
        <v>12000</v>
      </c>
      <c r="E273" s="4">
        <v>12000</v>
      </c>
      <c r="F273" s="5"/>
      <c r="G273" s="7" t="str">
        <f t="shared" si="4"/>
        <v>Jun</v>
      </c>
      <c r="H273" s="7" t="str">
        <f t="shared" si="5"/>
        <v>Wed</v>
      </c>
    </row>
    <row r="274" spans="1:8" ht="13.2" x14ac:dyDescent="0.25">
      <c r="A274" s="1">
        <v>46197</v>
      </c>
      <c r="B274" s="2" t="s">
        <v>109</v>
      </c>
      <c r="C274" s="3">
        <v>1</v>
      </c>
      <c r="D274" s="4">
        <f t="shared" si="3"/>
        <v>55000</v>
      </c>
      <c r="E274" s="4">
        <v>55000</v>
      </c>
      <c r="F274" s="5"/>
      <c r="G274" s="7" t="str">
        <f t="shared" si="4"/>
        <v>Jun</v>
      </c>
      <c r="H274" s="7" t="str">
        <f t="shared" si="5"/>
        <v>Wed</v>
      </c>
    </row>
    <row r="275" spans="1:8" ht="13.2" x14ac:dyDescent="0.25">
      <c r="A275" s="1">
        <v>46197</v>
      </c>
      <c r="B275" s="2" t="s">
        <v>217</v>
      </c>
      <c r="C275" s="3">
        <v>2</v>
      </c>
      <c r="D275" s="4">
        <f t="shared" si="3"/>
        <v>2000</v>
      </c>
      <c r="E275" s="4">
        <v>4000</v>
      </c>
      <c r="F275" s="5"/>
      <c r="G275" s="7" t="str">
        <f t="shared" si="4"/>
        <v>Jun</v>
      </c>
      <c r="H275" s="7" t="str">
        <f t="shared" si="5"/>
        <v>Wed</v>
      </c>
    </row>
    <row r="276" spans="1:8" ht="13.2" x14ac:dyDescent="0.25">
      <c r="A276" s="1">
        <v>46197</v>
      </c>
      <c r="B276" s="2" t="s">
        <v>17</v>
      </c>
      <c r="C276" s="3">
        <v>2</v>
      </c>
      <c r="D276" s="4">
        <f t="shared" si="3"/>
        <v>12000</v>
      </c>
      <c r="E276" s="4">
        <v>24000</v>
      </c>
      <c r="F276" s="5"/>
      <c r="G276" s="7" t="str">
        <f t="shared" si="4"/>
        <v>Jun</v>
      </c>
      <c r="H276" s="7" t="str">
        <f t="shared" si="5"/>
        <v>Wed</v>
      </c>
    </row>
    <row r="277" spans="1:8" ht="13.2" x14ac:dyDescent="0.25">
      <c r="A277" s="1">
        <v>46198</v>
      </c>
      <c r="B277" s="2" t="s">
        <v>21</v>
      </c>
      <c r="C277" s="3">
        <v>1</v>
      </c>
      <c r="D277" s="4">
        <f t="shared" si="3"/>
        <v>57000</v>
      </c>
      <c r="E277" s="4">
        <v>57000</v>
      </c>
      <c r="F277" s="5"/>
      <c r="G277" s="7" t="str">
        <f t="shared" si="4"/>
        <v>Jun</v>
      </c>
      <c r="H277" s="7" t="str">
        <f t="shared" si="5"/>
        <v>Thu</v>
      </c>
    </row>
    <row r="278" spans="1:8" ht="13.2" x14ac:dyDescent="0.25">
      <c r="A278" s="1">
        <v>46198</v>
      </c>
      <c r="B278" s="2" t="s">
        <v>66</v>
      </c>
      <c r="C278" s="3">
        <v>1</v>
      </c>
      <c r="D278" s="4">
        <f t="shared" si="3"/>
        <v>175000</v>
      </c>
      <c r="E278" s="4">
        <v>175000</v>
      </c>
      <c r="F278" s="5"/>
      <c r="G278" s="7" t="str">
        <f t="shared" si="4"/>
        <v>Jun</v>
      </c>
      <c r="H278" s="7" t="str">
        <f t="shared" si="5"/>
        <v>Thu</v>
      </c>
    </row>
    <row r="279" spans="1:8" ht="13.2" x14ac:dyDescent="0.25">
      <c r="A279" s="1">
        <v>46198</v>
      </c>
      <c r="B279" s="2" t="s">
        <v>39</v>
      </c>
      <c r="C279" s="3">
        <v>2</v>
      </c>
      <c r="D279" s="4">
        <f t="shared" si="3"/>
        <v>17000</v>
      </c>
      <c r="E279" s="4">
        <v>34000</v>
      </c>
      <c r="F279" s="5"/>
      <c r="G279" s="7" t="str">
        <f t="shared" si="4"/>
        <v>Jun</v>
      </c>
      <c r="H279" s="7" t="str">
        <f t="shared" si="5"/>
        <v>Thu</v>
      </c>
    </row>
    <row r="280" spans="1:8" ht="13.2" x14ac:dyDescent="0.25">
      <c r="A280" s="1">
        <v>46198</v>
      </c>
      <c r="B280" s="2" t="s">
        <v>80</v>
      </c>
      <c r="C280" s="3">
        <v>1</v>
      </c>
      <c r="D280" s="4">
        <f t="shared" si="3"/>
        <v>74000</v>
      </c>
      <c r="E280" s="4">
        <v>74000</v>
      </c>
      <c r="F280" s="5"/>
      <c r="G280" s="7" t="str">
        <f t="shared" si="4"/>
        <v>Jun</v>
      </c>
      <c r="H280" s="7" t="str">
        <f t="shared" si="5"/>
        <v>Thu</v>
      </c>
    </row>
    <row r="281" spans="1:8" ht="13.2" x14ac:dyDescent="0.25">
      <c r="A281" s="1">
        <v>46198</v>
      </c>
      <c r="B281" s="2" t="s">
        <v>184</v>
      </c>
      <c r="C281" s="3">
        <v>2</v>
      </c>
      <c r="D281" s="4">
        <f t="shared" si="3"/>
        <v>40000</v>
      </c>
      <c r="E281" s="4">
        <v>80000</v>
      </c>
      <c r="F281" s="5"/>
      <c r="G281" s="7" t="str">
        <f t="shared" si="4"/>
        <v>Jun</v>
      </c>
      <c r="H281" s="7" t="str">
        <f t="shared" si="5"/>
        <v>Thu</v>
      </c>
    </row>
    <row r="282" spans="1:8" ht="13.2" x14ac:dyDescent="0.25">
      <c r="A282" s="1">
        <v>46198</v>
      </c>
      <c r="B282" s="2" t="s">
        <v>170</v>
      </c>
      <c r="C282" s="3">
        <v>10</v>
      </c>
      <c r="D282" s="4">
        <f t="shared" si="3"/>
        <v>3000</v>
      </c>
      <c r="E282" s="4">
        <v>30000</v>
      </c>
      <c r="F282" s="5"/>
      <c r="G282" s="7" t="str">
        <f t="shared" si="4"/>
        <v>Jun</v>
      </c>
      <c r="H282" s="7" t="str">
        <f t="shared" si="5"/>
        <v>Thu</v>
      </c>
    </row>
    <row r="283" spans="1:8" ht="13.2" x14ac:dyDescent="0.25">
      <c r="A283" s="1">
        <v>46198</v>
      </c>
      <c r="B283" s="2" t="s">
        <v>49</v>
      </c>
      <c r="C283" s="3">
        <v>1</v>
      </c>
      <c r="D283" s="4">
        <f t="shared" si="3"/>
        <v>12000</v>
      </c>
      <c r="E283" s="4">
        <v>12000</v>
      </c>
      <c r="F283" s="5"/>
      <c r="G283" s="7" t="str">
        <f t="shared" si="4"/>
        <v>Jun</v>
      </c>
      <c r="H283" s="7" t="str">
        <f t="shared" si="5"/>
        <v>Thu</v>
      </c>
    </row>
    <row r="284" spans="1:8" ht="13.2" x14ac:dyDescent="0.25">
      <c r="A284" s="1">
        <v>46199</v>
      </c>
      <c r="B284" s="2" t="s">
        <v>177</v>
      </c>
      <c r="C284" s="3">
        <v>1</v>
      </c>
      <c r="D284" s="4">
        <f t="shared" si="3"/>
        <v>25000</v>
      </c>
      <c r="E284" s="4">
        <v>25000</v>
      </c>
      <c r="F284" s="5"/>
      <c r="G284" s="7" t="str">
        <f t="shared" si="4"/>
        <v>Jun</v>
      </c>
      <c r="H284" s="7" t="str">
        <f t="shared" si="5"/>
        <v>Fri</v>
      </c>
    </row>
    <row r="285" spans="1:8" ht="13.2" x14ac:dyDescent="0.25">
      <c r="A285" s="1">
        <v>46200</v>
      </c>
      <c r="B285" s="2" t="s">
        <v>69</v>
      </c>
      <c r="C285" s="3">
        <v>1</v>
      </c>
      <c r="D285" s="4">
        <f t="shared" si="3"/>
        <v>50000</v>
      </c>
      <c r="E285" s="4">
        <v>50000</v>
      </c>
      <c r="F285" s="5"/>
      <c r="G285" s="7" t="str">
        <f t="shared" si="4"/>
        <v>Jun</v>
      </c>
      <c r="H285" s="7" t="str">
        <f t="shared" si="5"/>
        <v>Sat</v>
      </c>
    </row>
    <row r="286" spans="1:8" ht="13.2" x14ac:dyDescent="0.25">
      <c r="A286" s="1">
        <v>46200</v>
      </c>
      <c r="B286" s="2" t="s">
        <v>185</v>
      </c>
      <c r="C286" s="3">
        <v>1</v>
      </c>
      <c r="D286" s="4">
        <f t="shared" si="3"/>
        <v>42000</v>
      </c>
      <c r="E286" s="4">
        <v>42000</v>
      </c>
      <c r="F286" s="5"/>
      <c r="G286" s="7" t="str">
        <f t="shared" si="4"/>
        <v>Jun</v>
      </c>
      <c r="H286" s="7" t="str">
        <f t="shared" si="5"/>
        <v>Sat</v>
      </c>
    </row>
    <row r="287" spans="1:8" ht="13.2" x14ac:dyDescent="0.25">
      <c r="A287" s="1">
        <v>46202</v>
      </c>
      <c r="B287" s="2" t="s">
        <v>10</v>
      </c>
      <c r="C287" s="3">
        <v>1</v>
      </c>
      <c r="D287" s="4">
        <f t="shared" si="3"/>
        <v>25000</v>
      </c>
      <c r="E287" s="4">
        <v>25000</v>
      </c>
      <c r="F287" s="5"/>
      <c r="G287" s="7" t="str">
        <f t="shared" si="4"/>
        <v>Jun</v>
      </c>
      <c r="H287" s="7" t="str">
        <f t="shared" si="5"/>
        <v>Mon</v>
      </c>
    </row>
    <row r="288" spans="1:8" ht="13.2" x14ac:dyDescent="0.25">
      <c r="A288" s="1">
        <v>46202</v>
      </c>
      <c r="B288" s="2" t="s">
        <v>55</v>
      </c>
      <c r="C288" s="3">
        <v>1</v>
      </c>
      <c r="D288" s="4">
        <f t="shared" si="3"/>
        <v>15000</v>
      </c>
      <c r="E288" s="4">
        <v>15000</v>
      </c>
      <c r="F288" s="5"/>
      <c r="G288" s="7" t="str">
        <f t="shared" si="4"/>
        <v>Jun</v>
      </c>
      <c r="H288" s="7" t="str">
        <f t="shared" si="5"/>
        <v>Mon</v>
      </c>
    </row>
    <row r="289" spans="1:8" ht="13.2" x14ac:dyDescent="0.25">
      <c r="A289" s="1">
        <v>46203</v>
      </c>
      <c r="B289" s="2" t="s">
        <v>31</v>
      </c>
      <c r="C289" s="3">
        <v>1</v>
      </c>
      <c r="D289" s="4">
        <f t="shared" si="3"/>
        <v>40000</v>
      </c>
      <c r="E289" s="4">
        <v>40000</v>
      </c>
      <c r="F289" s="5"/>
      <c r="G289" s="7" t="str">
        <f t="shared" si="4"/>
        <v>Jun</v>
      </c>
      <c r="H289" s="7" t="str">
        <f t="shared" si="5"/>
        <v>Tue</v>
      </c>
    </row>
    <row r="290" spans="1:8" ht="13.2" x14ac:dyDescent="0.25">
      <c r="A290" s="1">
        <v>46203</v>
      </c>
      <c r="B290" s="2" t="s">
        <v>54</v>
      </c>
      <c r="C290" s="3">
        <v>1</v>
      </c>
      <c r="D290" s="4">
        <f t="shared" si="3"/>
        <v>12000</v>
      </c>
      <c r="E290" s="4">
        <v>12000</v>
      </c>
      <c r="F290" s="5"/>
      <c r="G290" s="7" t="str">
        <f t="shared" si="4"/>
        <v>Jun</v>
      </c>
      <c r="H290" s="7" t="str">
        <f t="shared" si="5"/>
        <v>Tue</v>
      </c>
    </row>
    <row r="291" spans="1:8" ht="13.2" x14ac:dyDescent="0.25">
      <c r="A291" s="1">
        <v>46203</v>
      </c>
      <c r="B291" s="2" t="s">
        <v>10</v>
      </c>
      <c r="C291" s="3">
        <v>1</v>
      </c>
      <c r="D291" s="4">
        <f t="shared" si="3"/>
        <v>27000</v>
      </c>
      <c r="E291" s="4">
        <v>27000</v>
      </c>
      <c r="F291" s="5"/>
      <c r="G291" s="7" t="str">
        <f t="shared" si="4"/>
        <v>Jun</v>
      </c>
      <c r="H291" s="7" t="str">
        <f t="shared" si="5"/>
        <v>Tue</v>
      </c>
    </row>
    <row r="292" spans="1:8" ht="13.2" x14ac:dyDescent="0.25">
      <c r="A292" s="1">
        <v>46204</v>
      </c>
      <c r="B292" s="2" t="s">
        <v>20</v>
      </c>
      <c r="C292" s="3">
        <v>1</v>
      </c>
      <c r="D292" s="4">
        <f t="shared" si="3"/>
        <v>25000</v>
      </c>
      <c r="E292" s="4">
        <v>25000</v>
      </c>
      <c r="F292" s="5"/>
      <c r="G292" s="7" t="str">
        <f t="shared" si="4"/>
        <v>Jul</v>
      </c>
      <c r="H292" s="7" t="str">
        <f t="shared" si="5"/>
        <v>Wed</v>
      </c>
    </row>
    <row r="293" spans="1:8" ht="13.2" x14ac:dyDescent="0.25">
      <c r="A293" s="1">
        <v>46205</v>
      </c>
      <c r="B293" s="2" t="s">
        <v>211</v>
      </c>
      <c r="C293" s="3">
        <v>1</v>
      </c>
      <c r="D293" s="4">
        <f t="shared" si="3"/>
        <v>17000</v>
      </c>
      <c r="E293" s="4">
        <v>17000</v>
      </c>
      <c r="F293" s="5"/>
      <c r="G293" s="7" t="str">
        <f t="shared" si="4"/>
        <v>Jul</v>
      </c>
      <c r="H293" s="7" t="str">
        <f t="shared" si="5"/>
        <v>Thu</v>
      </c>
    </row>
    <row r="294" spans="1:8" ht="13.2" x14ac:dyDescent="0.25">
      <c r="A294" s="1">
        <v>46205</v>
      </c>
      <c r="B294" s="2" t="s">
        <v>18</v>
      </c>
      <c r="C294" s="3">
        <v>2</v>
      </c>
      <c r="D294" s="4">
        <f t="shared" si="3"/>
        <v>10000</v>
      </c>
      <c r="E294" s="4">
        <v>20000</v>
      </c>
      <c r="F294" s="5"/>
      <c r="G294" s="7" t="str">
        <f t="shared" si="4"/>
        <v>Jul</v>
      </c>
      <c r="H294" s="7" t="str">
        <f t="shared" si="5"/>
        <v>Thu</v>
      </c>
    </row>
    <row r="295" spans="1:8" ht="13.2" x14ac:dyDescent="0.25">
      <c r="A295" s="1">
        <v>46205</v>
      </c>
      <c r="B295" s="2" t="s">
        <v>208</v>
      </c>
      <c r="C295" s="3">
        <v>1</v>
      </c>
      <c r="D295" s="4">
        <f t="shared" si="3"/>
        <v>53000</v>
      </c>
      <c r="E295" s="4">
        <v>53000</v>
      </c>
      <c r="F295" s="5"/>
      <c r="G295" s="7" t="str">
        <f t="shared" si="4"/>
        <v>Jul</v>
      </c>
      <c r="H295" s="7" t="str">
        <f t="shared" si="5"/>
        <v>Thu</v>
      </c>
    </row>
    <row r="296" spans="1:8" ht="13.2" x14ac:dyDescent="0.25">
      <c r="A296" s="1">
        <v>46205</v>
      </c>
      <c r="B296" s="2" t="s">
        <v>187</v>
      </c>
      <c r="C296" s="3">
        <v>1</v>
      </c>
      <c r="D296" s="4">
        <f t="shared" si="3"/>
        <v>17000</v>
      </c>
      <c r="E296" s="4">
        <v>17000</v>
      </c>
      <c r="F296" s="5"/>
      <c r="G296" s="7" t="str">
        <f t="shared" si="4"/>
        <v>Jul</v>
      </c>
      <c r="H296" s="7" t="str">
        <f t="shared" si="5"/>
        <v>Thu</v>
      </c>
    </row>
    <row r="297" spans="1:8" ht="13.2" x14ac:dyDescent="0.25">
      <c r="A297" s="1">
        <v>46205</v>
      </c>
      <c r="B297" s="2" t="s">
        <v>11</v>
      </c>
      <c r="C297" s="3">
        <v>1</v>
      </c>
      <c r="D297" s="4">
        <f t="shared" si="3"/>
        <v>25000</v>
      </c>
      <c r="E297" s="4">
        <v>25000</v>
      </c>
      <c r="F297" s="5"/>
      <c r="G297" s="7" t="str">
        <f t="shared" si="4"/>
        <v>Jul</v>
      </c>
      <c r="H297" s="7" t="str">
        <f t="shared" si="5"/>
        <v>Thu</v>
      </c>
    </row>
    <row r="298" spans="1:8" ht="13.2" x14ac:dyDescent="0.25">
      <c r="A298" s="1">
        <v>46205</v>
      </c>
      <c r="B298" s="2" t="s">
        <v>98</v>
      </c>
      <c r="C298" s="3">
        <v>2</v>
      </c>
      <c r="D298" s="4">
        <f t="shared" si="3"/>
        <v>26000</v>
      </c>
      <c r="E298" s="4">
        <v>52000</v>
      </c>
      <c r="F298" s="5"/>
      <c r="G298" s="7" t="str">
        <f t="shared" si="4"/>
        <v>Jul</v>
      </c>
      <c r="H298" s="7" t="str">
        <f t="shared" si="5"/>
        <v>Thu</v>
      </c>
    </row>
    <row r="299" spans="1:8" ht="13.2" x14ac:dyDescent="0.25">
      <c r="A299" s="1">
        <v>46205</v>
      </c>
      <c r="B299" s="2" t="s">
        <v>99</v>
      </c>
      <c r="C299" s="3">
        <v>1</v>
      </c>
      <c r="D299" s="4">
        <f t="shared" si="3"/>
        <v>26000</v>
      </c>
      <c r="E299" s="4">
        <v>26000</v>
      </c>
      <c r="F299" s="5"/>
      <c r="G299" s="7" t="str">
        <f t="shared" si="4"/>
        <v>Jul</v>
      </c>
      <c r="H299" s="7" t="str">
        <f t="shared" si="5"/>
        <v>Thu</v>
      </c>
    </row>
    <row r="300" spans="1:8" ht="13.2" x14ac:dyDescent="0.25">
      <c r="A300" s="1">
        <v>46205</v>
      </c>
      <c r="B300" s="2" t="s">
        <v>97</v>
      </c>
      <c r="C300" s="3">
        <v>1</v>
      </c>
      <c r="D300" s="4">
        <f t="shared" si="3"/>
        <v>26000</v>
      </c>
      <c r="E300" s="4">
        <v>26000</v>
      </c>
      <c r="F300" s="5"/>
      <c r="G300" s="7" t="str">
        <f t="shared" si="4"/>
        <v>Jul</v>
      </c>
      <c r="H300" s="7" t="str">
        <f t="shared" si="5"/>
        <v>Thu</v>
      </c>
    </row>
    <row r="301" spans="1:8" ht="13.2" x14ac:dyDescent="0.25">
      <c r="A301" s="1">
        <v>46205</v>
      </c>
      <c r="B301" s="2" t="s">
        <v>100</v>
      </c>
      <c r="C301" s="3">
        <v>1</v>
      </c>
      <c r="D301" s="4">
        <f t="shared" si="3"/>
        <v>17000</v>
      </c>
      <c r="E301" s="4">
        <v>17000</v>
      </c>
      <c r="F301" s="5"/>
      <c r="G301" s="7" t="str">
        <f t="shared" si="4"/>
        <v>Jul</v>
      </c>
      <c r="H301" s="7" t="str">
        <f t="shared" si="5"/>
        <v>Thu</v>
      </c>
    </row>
    <row r="302" spans="1:8" ht="13.2" x14ac:dyDescent="0.25">
      <c r="A302" s="1">
        <v>46205</v>
      </c>
      <c r="B302" s="2" t="s">
        <v>94</v>
      </c>
      <c r="C302" s="3">
        <v>2</v>
      </c>
      <c r="D302" s="4">
        <f t="shared" si="3"/>
        <v>12000</v>
      </c>
      <c r="E302" s="4">
        <v>24000</v>
      </c>
      <c r="F302" s="5"/>
      <c r="G302" s="7" t="str">
        <f t="shared" si="4"/>
        <v>Jul</v>
      </c>
      <c r="H302" s="7" t="str">
        <f t="shared" si="5"/>
        <v>Thu</v>
      </c>
    </row>
    <row r="303" spans="1:8" ht="13.2" x14ac:dyDescent="0.25">
      <c r="A303" s="1">
        <v>46205</v>
      </c>
      <c r="B303" s="2" t="s">
        <v>17</v>
      </c>
      <c r="C303" s="3">
        <v>1</v>
      </c>
      <c r="D303" s="4">
        <f t="shared" si="3"/>
        <v>12000</v>
      </c>
      <c r="E303" s="4">
        <v>12000</v>
      </c>
      <c r="F303" s="5"/>
      <c r="G303" s="7" t="str">
        <f t="shared" si="4"/>
        <v>Jul</v>
      </c>
      <c r="H303" s="7" t="str">
        <f t="shared" si="5"/>
        <v>Thu</v>
      </c>
    </row>
    <row r="304" spans="1:8" ht="13.2" x14ac:dyDescent="0.25">
      <c r="A304" s="1">
        <v>46205</v>
      </c>
      <c r="B304" s="2" t="s">
        <v>18</v>
      </c>
      <c r="C304" s="3">
        <v>1</v>
      </c>
      <c r="D304" s="4">
        <f t="shared" si="3"/>
        <v>12000</v>
      </c>
      <c r="E304" s="4">
        <v>12000</v>
      </c>
      <c r="F304" s="5"/>
      <c r="G304" s="7" t="str">
        <f t="shared" si="4"/>
        <v>Jul</v>
      </c>
      <c r="H304" s="7" t="str">
        <f t="shared" si="5"/>
        <v>Thu</v>
      </c>
    </row>
    <row r="305" spans="1:8" ht="13.2" x14ac:dyDescent="0.25">
      <c r="A305" s="1">
        <v>46205</v>
      </c>
      <c r="B305" s="2" t="s">
        <v>103</v>
      </c>
      <c r="C305" s="3">
        <v>1</v>
      </c>
      <c r="D305" s="4">
        <f t="shared" si="3"/>
        <v>12000</v>
      </c>
      <c r="E305" s="4">
        <v>12000</v>
      </c>
      <c r="F305" s="5"/>
      <c r="G305" s="7" t="str">
        <f t="shared" si="4"/>
        <v>Jul</v>
      </c>
      <c r="H305" s="7" t="str">
        <f t="shared" si="5"/>
        <v>Thu</v>
      </c>
    </row>
    <row r="306" spans="1:8" ht="13.2" x14ac:dyDescent="0.25">
      <c r="A306" s="1">
        <v>46205</v>
      </c>
      <c r="B306" s="2" t="s">
        <v>165</v>
      </c>
      <c r="C306" s="3">
        <v>1</v>
      </c>
      <c r="D306" s="4">
        <f t="shared" si="3"/>
        <v>17000</v>
      </c>
      <c r="E306" s="4">
        <v>17000</v>
      </c>
      <c r="F306" s="5"/>
      <c r="G306" s="7" t="str">
        <f t="shared" si="4"/>
        <v>Jul</v>
      </c>
      <c r="H306" s="7" t="str">
        <f t="shared" si="5"/>
        <v>Thu</v>
      </c>
    </row>
    <row r="307" spans="1:8" ht="13.2" x14ac:dyDescent="0.25">
      <c r="A307" s="1">
        <v>46205</v>
      </c>
      <c r="B307" s="2" t="s">
        <v>161</v>
      </c>
      <c r="C307" s="3">
        <v>1</v>
      </c>
      <c r="D307" s="4">
        <f t="shared" si="3"/>
        <v>27000</v>
      </c>
      <c r="E307" s="4">
        <v>27000</v>
      </c>
      <c r="F307" s="5"/>
      <c r="G307" s="7" t="str">
        <f t="shared" si="4"/>
        <v>Jul</v>
      </c>
      <c r="H307" s="7" t="str">
        <f t="shared" si="5"/>
        <v>Thu</v>
      </c>
    </row>
    <row r="308" spans="1:8" ht="13.2" x14ac:dyDescent="0.25">
      <c r="A308" s="1">
        <v>46205</v>
      </c>
      <c r="B308" s="2" t="s">
        <v>176</v>
      </c>
      <c r="C308" s="3">
        <v>2</v>
      </c>
      <c r="D308" s="4">
        <f t="shared" si="3"/>
        <v>10000</v>
      </c>
      <c r="E308" s="4">
        <v>20000</v>
      </c>
      <c r="F308" s="5"/>
      <c r="G308" s="7" t="str">
        <f t="shared" si="4"/>
        <v>Jul</v>
      </c>
      <c r="H308" s="7" t="str">
        <f t="shared" si="5"/>
        <v>Thu</v>
      </c>
    </row>
    <row r="309" spans="1:8" ht="13.2" x14ac:dyDescent="0.25">
      <c r="A309" s="1">
        <v>46205</v>
      </c>
      <c r="B309" s="2" t="s">
        <v>163</v>
      </c>
      <c r="C309" s="3">
        <v>1</v>
      </c>
      <c r="D309" s="4">
        <f t="shared" si="3"/>
        <v>37000</v>
      </c>
      <c r="E309" s="4">
        <v>37000</v>
      </c>
      <c r="F309" s="5"/>
      <c r="G309" s="7" t="str">
        <f t="shared" si="4"/>
        <v>Jul</v>
      </c>
      <c r="H309" s="7" t="str">
        <f t="shared" si="5"/>
        <v>Thu</v>
      </c>
    </row>
    <row r="310" spans="1:8" ht="13.2" x14ac:dyDescent="0.25">
      <c r="A310" s="1">
        <v>46205</v>
      </c>
      <c r="B310" s="2" t="s">
        <v>123</v>
      </c>
      <c r="C310" s="3">
        <v>1</v>
      </c>
      <c r="D310" s="4">
        <f t="shared" si="3"/>
        <v>32000</v>
      </c>
      <c r="E310" s="4">
        <v>32000</v>
      </c>
      <c r="F310" s="5"/>
      <c r="G310" s="7" t="str">
        <f t="shared" si="4"/>
        <v>Jul</v>
      </c>
      <c r="H310" s="7" t="str">
        <f t="shared" si="5"/>
        <v>Thu</v>
      </c>
    </row>
    <row r="311" spans="1:8" ht="13.2" x14ac:dyDescent="0.25">
      <c r="A311" s="1">
        <v>46205</v>
      </c>
      <c r="B311" s="2" t="s">
        <v>113</v>
      </c>
      <c r="C311" s="3">
        <v>1</v>
      </c>
      <c r="D311" s="4">
        <f t="shared" si="3"/>
        <v>50000</v>
      </c>
      <c r="E311" s="4">
        <v>50000</v>
      </c>
      <c r="F311" s="5"/>
      <c r="G311" s="7" t="str">
        <f t="shared" si="4"/>
        <v>Jul</v>
      </c>
      <c r="H311" s="7" t="str">
        <f t="shared" si="5"/>
        <v>Thu</v>
      </c>
    </row>
    <row r="312" spans="1:8" ht="13.2" x14ac:dyDescent="0.25">
      <c r="A312" s="1">
        <v>46205</v>
      </c>
      <c r="B312" s="2" t="s">
        <v>138</v>
      </c>
      <c r="C312" s="3">
        <v>2</v>
      </c>
      <c r="D312" s="4">
        <f t="shared" si="3"/>
        <v>3000</v>
      </c>
      <c r="E312" s="4">
        <v>6000</v>
      </c>
      <c r="F312" s="5"/>
      <c r="G312" s="7" t="str">
        <f t="shared" si="4"/>
        <v>Jul</v>
      </c>
      <c r="H312" s="7" t="str">
        <f t="shared" si="5"/>
        <v>Thu</v>
      </c>
    </row>
    <row r="313" spans="1:8" ht="13.2" x14ac:dyDescent="0.25">
      <c r="A313" s="1">
        <v>46206</v>
      </c>
      <c r="B313" s="2" t="s">
        <v>69</v>
      </c>
      <c r="C313" s="3">
        <v>1</v>
      </c>
      <c r="D313" s="4">
        <f t="shared" si="3"/>
        <v>52000</v>
      </c>
      <c r="E313" s="4">
        <v>52000</v>
      </c>
      <c r="F313" s="5"/>
      <c r="G313" s="7" t="str">
        <f t="shared" si="4"/>
        <v>Jul</v>
      </c>
      <c r="H313" s="7" t="str">
        <f t="shared" si="5"/>
        <v>Fri</v>
      </c>
    </row>
    <row r="314" spans="1:8" ht="13.2" x14ac:dyDescent="0.25">
      <c r="A314" s="1">
        <v>46206</v>
      </c>
      <c r="B314" s="2" t="s">
        <v>188</v>
      </c>
      <c r="C314" s="3">
        <v>1</v>
      </c>
      <c r="D314" s="4">
        <f t="shared" si="3"/>
        <v>12000</v>
      </c>
      <c r="E314" s="4">
        <v>12000</v>
      </c>
      <c r="F314" s="5"/>
      <c r="G314" s="7" t="str">
        <f t="shared" si="4"/>
        <v>Jul</v>
      </c>
      <c r="H314" s="7" t="str">
        <f t="shared" si="5"/>
        <v>Fri</v>
      </c>
    </row>
    <row r="315" spans="1:8" ht="13.2" x14ac:dyDescent="0.25">
      <c r="A315" s="1">
        <v>46206</v>
      </c>
      <c r="B315" s="2" t="s">
        <v>84</v>
      </c>
      <c r="C315" s="3">
        <v>1</v>
      </c>
      <c r="D315" s="4">
        <f t="shared" si="3"/>
        <v>35000</v>
      </c>
      <c r="E315" s="4">
        <v>35000</v>
      </c>
      <c r="F315" s="5"/>
      <c r="G315" s="7" t="str">
        <f t="shared" si="4"/>
        <v>Jul</v>
      </c>
      <c r="H315" s="7" t="str">
        <f t="shared" si="5"/>
        <v>Fri</v>
      </c>
    </row>
    <row r="316" spans="1:8" ht="13.2" x14ac:dyDescent="0.25">
      <c r="A316" s="1">
        <v>46206</v>
      </c>
      <c r="B316" s="2" t="s">
        <v>104</v>
      </c>
      <c r="C316" s="3">
        <v>1</v>
      </c>
      <c r="D316" s="4">
        <f t="shared" si="3"/>
        <v>42000</v>
      </c>
      <c r="E316" s="4">
        <v>42000</v>
      </c>
      <c r="F316" s="5" t="s">
        <v>14</v>
      </c>
      <c r="G316" s="7" t="str">
        <f t="shared" si="4"/>
        <v>Jul</v>
      </c>
      <c r="H316" s="7" t="str">
        <f t="shared" si="5"/>
        <v>Fri</v>
      </c>
    </row>
    <row r="317" spans="1:8" ht="13.2" x14ac:dyDescent="0.25">
      <c r="A317" s="1">
        <v>46206</v>
      </c>
      <c r="B317" s="2" t="s">
        <v>10</v>
      </c>
      <c r="C317" s="3">
        <v>1</v>
      </c>
      <c r="D317" s="4">
        <f t="shared" si="3"/>
        <v>25000</v>
      </c>
      <c r="E317" s="4">
        <v>25000</v>
      </c>
      <c r="F317" s="5"/>
      <c r="G317" s="7" t="str">
        <f t="shared" si="4"/>
        <v>Jul</v>
      </c>
      <c r="H317" s="7" t="str">
        <f t="shared" si="5"/>
        <v>Fri</v>
      </c>
    </row>
    <row r="318" spans="1:8" ht="13.2" x14ac:dyDescent="0.25">
      <c r="A318" s="1">
        <v>46207</v>
      </c>
      <c r="B318" s="2" t="s">
        <v>34</v>
      </c>
      <c r="C318" s="3">
        <v>1</v>
      </c>
      <c r="D318" s="4">
        <f t="shared" si="3"/>
        <v>115000</v>
      </c>
      <c r="E318" s="4">
        <v>115000</v>
      </c>
      <c r="F318" s="5"/>
      <c r="G318" s="7" t="str">
        <f t="shared" si="4"/>
        <v>Jul</v>
      </c>
      <c r="H318" s="7" t="str">
        <f t="shared" si="5"/>
        <v>Sat</v>
      </c>
    </row>
    <row r="319" spans="1:8" ht="13.2" x14ac:dyDescent="0.25">
      <c r="A319" s="1">
        <v>46207</v>
      </c>
      <c r="B319" s="2" t="s">
        <v>220</v>
      </c>
      <c r="C319" s="3">
        <v>1</v>
      </c>
      <c r="D319" s="4">
        <f t="shared" si="3"/>
        <v>15000</v>
      </c>
      <c r="E319" s="4">
        <v>15000</v>
      </c>
      <c r="F319" s="5"/>
      <c r="G319" s="7" t="str">
        <f t="shared" si="4"/>
        <v>Jul</v>
      </c>
      <c r="H319" s="7" t="str">
        <f t="shared" si="5"/>
        <v>Sat</v>
      </c>
    </row>
    <row r="320" spans="1:8" ht="13.2" x14ac:dyDescent="0.25">
      <c r="A320" s="1">
        <v>46207</v>
      </c>
      <c r="B320" s="2" t="s">
        <v>15</v>
      </c>
      <c r="C320" s="3">
        <v>1</v>
      </c>
      <c r="D320" s="4">
        <f t="shared" si="3"/>
        <v>26000</v>
      </c>
      <c r="E320" s="4">
        <v>26000</v>
      </c>
      <c r="F320" s="5"/>
      <c r="G320" s="7" t="str">
        <f t="shared" si="4"/>
        <v>Jul</v>
      </c>
      <c r="H320" s="7" t="str">
        <f t="shared" si="5"/>
        <v>Sat</v>
      </c>
    </row>
    <row r="321" spans="1:8" ht="13.2" x14ac:dyDescent="0.25">
      <c r="A321" s="1">
        <v>46207</v>
      </c>
      <c r="B321" s="2" t="s">
        <v>91</v>
      </c>
      <c r="C321" s="3">
        <v>1</v>
      </c>
      <c r="D321" s="4">
        <f t="shared" si="3"/>
        <v>12000</v>
      </c>
      <c r="E321" s="4">
        <v>12000</v>
      </c>
      <c r="F321" s="5"/>
      <c r="G321" s="7" t="str">
        <f t="shared" si="4"/>
        <v>Jul</v>
      </c>
      <c r="H321" s="7" t="str">
        <f t="shared" si="5"/>
        <v>Sat</v>
      </c>
    </row>
    <row r="322" spans="1:8" ht="13.2" x14ac:dyDescent="0.25">
      <c r="A322" s="1">
        <v>46207</v>
      </c>
      <c r="B322" s="2" t="s">
        <v>203</v>
      </c>
      <c r="C322" s="3">
        <v>1</v>
      </c>
      <c r="D322" s="4">
        <f t="shared" si="3"/>
        <v>53000</v>
      </c>
      <c r="E322" s="4">
        <v>53000</v>
      </c>
      <c r="F322" s="5"/>
      <c r="G322" s="7" t="str">
        <f t="shared" si="4"/>
        <v>Jul</v>
      </c>
      <c r="H322" s="7" t="str">
        <f t="shared" si="5"/>
        <v>Sat</v>
      </c>
    </row>
    <row r="323" spans="1:8" ht="13.2" x14ac:dyDescent="0.25">
      <c r="A323" s="1">
        <v>46207</v>
      </c>
      <c r="B323" s="2" t="s">
        <v>32</v>
      </c>
      <c r="C323" s="3">
        <v>1</v>
      </c>
      <c r="D323" s="4">
        <f t="shared" si="3"/>
        <v>75000</v>
      </c>
      <c r="E323" s="4">
        <v>75000</v>
      </c>
      <c r="F323" s="5"/>
      <c r="G323" s="7" t="str">
        <f t="shared" si="4"/>
        <v>Jul</v>
      </c>
      <c r="H323" s="7" t="str">
        <f t="shared" si="5"/>
        <v>Sat</v>
      </c>
    </row>
    <row r="324" spans="1:8" ht="13.2" x14ac:dyDescent="0.25">
      <c r="A324" s="1">
        <v>46207</v>
      </c>
      <c r="B324" s="2" t="s">
        <v>109</v>
      </c>
      <c r="C324" s="3">
        <v>1</v>
      </c>
      <c r="D324" s="4">
        <f t="shared" si="3"/>
        <v>45000</v>
      </c>
      <c r="E324" s="4">
        <v>45000</v>
      </c>
      <c r="F324" s="5" t="s">
        <v>14</v>
      </c>
      <c r="G324" s="7" t="str">
        <f t="shared" si="4"/>
        <v>Jul</v>
      </c>
      <c r="H324" s="7" t="str">
        <f t="shared" si="5"/>
        <v>Sat</v>
      </c>
    </row>
    <row r="325" spans="1:8" ht="13.2" x14ac:dyDescent="0.25">
      <c r="A325" s="1">
        <v>46207</v>
      </c>
      <c r="B325" s="2" t="s">
        <v>229</v>
      </c>
      <c r="C325" s="3">
        <v>1</v>
      </c>
      <c r="D325" s="4">
        <f t="shared" si="3"/>
        <v>20000</v>
      </c>
      <c r="E325" s="4">
        <v>20000</v>
      </c>
      <c r="F325" s="5"/>
      <c r="G325" s="7" t="str">
        <f t="shared" si="4"/>
        <v>Jul</v>
      </c>
      <c r="H325" s="7" t="str">
        <f t="shared" si="5"/>
        <v>Sat</v>
      </c>
    </row>
    <row r="326" spans="1:8" ht="13.2" x14ac:dyDescent="0.25">
      <c r="A326" s="1">
        <v>46207</v>
      </c>
      <c r="B326" s="2" t="s">
        <v>129</v>
      </c>
      <c r="C326" s="3">
        <v>1</v>
      </c>
      <c r="D326" s="4">
        <f t="shared" si="3"/>
        <v>14000</v>
      </c>
      <c r="E326" s="4">
        <v>14000</v>
      </c>
      <c r="F326" s="5"/>
      <c r="G326" s="7" t="str">
        <f t="shared" si="4"/>
        <v>Jul</v>
      </c>
      <c r="H326" s="7" t="str">
        <f t="shared" si="5"/>
        <v>Sat</v>
      </c>
    </row>
    <row r="327" spans="1:8" ht="13.2" x14ac:dyDescent="0.25">
      <c r="A327" s="1">
        <v>46207</v>
      </c>
      <c r="B327" s="2" t="s">
        <v>173</v>
      </c>
      <c r="C327" s="3">
        <v>1</v>
      </c>
      <c r="D327" s="4">
        <f t="shared" si="3"/>
        <v>10000</v>
      </c>
      <c r="E327" s="4">
        <v>10000</v>
      </c>
      <c r="F327" s="5"/>
      <c r="G327" s="7" t="str">
        <f t="shared" si="4"/>
        <v>Jul</v>
      </c>
      <c r="H327" s="7" t="str">
        <f t="shared" si="5"/>
        <v>Sat</v>
      </c>
    </row>
    <row r="328" spans="1:8" ht="13.2" x14ac:dyDescent="0.25">
      <c r="A328" s="1">
        <v>46207</v>
      </c>
      <c r="B328" s="2" t="s">
        <v>171</v>
      </c>
      <c r="C328" s="3">
        <v>1</v>
      </c>
      <c r="D328" s="4">
        <f t="shared" si="3"/>
        <v>20000</v>
      </c>
      <c r="E328" s="4">
        <v>20000</v>
      </c>
      <c r="F328" s="5"/>
      <c r="G328" s="7" t="str">
        <f t="shared" si="4"/>
        <v>Jul</v>
      </c>
      <c r="H328" s="7" t="str">
        <f t="shared" si="5"/>
        <v>Sat</v>
      </c>
    </row>
    <row r="329" spans="1:8" ht="13.2" x14ac:dyDescent="0.25">
      <c r="A329" s="1">
        <v>46207</v>
      </c>
      <c r="B329" s="2" t="s">
        <v>50</v>
      </c>
      <c r="C329" s="3">
        <v>1</v>
      </c>
      <c r="D329" s="4">
        <f t="shared" si="3"/>
        <v>12000</v>
      </c>
      <c r="E329" s="4">
        <v>12000</v>
      </c>
      <c r="F329" s="5"/>
      <c r="G329" s="7" t="str">
        <f t="shared" si="4"/>
        <v>Jul</v>
      </c>
      <c r="H329" s="7" t="str">
        <f t="shared" si="5"/>
        <v>Sat</v>
      </c>
    </row>
    <row r="330" spans="1:8" ht="13.2" x14ac:dyDescent="0.25">
      <c r="A330" s="1">
        <v>46207</v>
      </c>
      <c r="B330" s="2" t="s">
        <v>52</v>
      </c>
      <c r="C330" s="3">
        <v>1</v>
      </c>
      <c r="D330" s="4">
        <f t="shared" si="3"/>
        <v>12000</v>
      </c>
      <c r="E330" s="4">
        <v>12000</v>
      </c>
      <c r="F330" s="5"/>
      <c r="G330" s="7" t="str">
        <f t="shared" si="4"/>
        <v>Jul</v>
      </c>
      <c r="H330" s="7" t="str">
        <f t="shared" si="5"/>
        <v>Sat</v>
      </c>
    </row>
    <row r="331" spans="1:8" ht="13.2" x14ac:dyDescent="0.25">
      <c r="A331" s="1">
        <v>46207</v>
      </c>
      <c r="B331" s="2" t="s">
        <v>42</v>
      </c>
      <c r="C331" s="3">
        <v>1</v>
      </c>
      <c r="D331" s="4">
        <f t="shared" si="3"/>
        <v>15000</v>
      </c>
      <c r="E331" s="4">
        <v>15000</v>
      </c>
      <c r="F331" s="5"/>
      <c r="G331" s="7" t="str">
        <f t="shared" si="4"/>
        <v>Jul</v>
      </c>
      <c r="H331" s="7" t="str">
        <f t="shared" si="5"/>
        <v>Sat</v>
      </c>
    </row>
    <row r="332" spans="1:8" ht="13.2" x14ac:dyDescent="0.25">
      <c r="A332" s="1">
        <v>46207</v>
      </c>
      <c r="B332" s="2" t="s">
        <v>29</v>
      </c>
      <c r="C332" s="3">
        <v>1</v>
      </c>
      <c r="D332" s="4">
        <f t="shared" si="3"/>
        <v>60000</v>
      </c>
      <c r="E332" s="4">
        <v>60000</v>
      </c>
      <c r="F332" s="5"/>
      <c r="G332" s="7" t="str">
        <f t="shared" si="4"/>
        <v>Jul</v>
      </c>
      <c r="H332" s="7" t="str">
        <f t="shared" si="5"/>
        <v>Sat</v>
      </c>
    </row>
    <row r="333" spans="1:8" ht="13.2" x14ac:dyDescent="0.25">
      <c r="A333" s="1">
        <v>46207</v>
      </c>
      <c r="B333" s="2" t="s">
        <v>142</v>
      </c>
      <c r="C333" s="3">
        <v>1</v>
      </c>
      <c r="D333" s="4">
        <f t="shared" si="3"/>
        <v>32000</v>
      </c>
      <c r="E333" s="4">
        <v>32000</v>
      </c>
      <c r="F333" s="5"/>
      <c r="G333" s="7" t="str">
        <f t="shared" si="4"/>
        <v>Jul</v>
      </c>
      <c r="H333" s="7" t="str">
        <f t="shared" si="5"/>
        <v>Sat</v>
      </c>
    </row>
    <row r="334" spans="1:8" ht="13.2" x14ac:dyDescent="0.25">
      <c r="A334" s="1">
        <v>46207</v>
      </c>
      <c r="B334" s="2" t="s">
        <v>143</v>
      </c>
      <c r="C334" s="3">
        <v>1</v>
      </c>
      <c r="D334" s="4">
        <f t="shared" si="3"/>
        <v>32000</v>
      </c>
      <c r="E334" s="4">
        <v>32000</v>
      </c>
      <c r="F334" s="5"/>
      <c r="G334" s="7" t="str">
        <f t="shared" si="4"/>
        <v>Jul</v>
      </c>
      <c r="H334" s="7" t="str">
        <f t="shared" si="5"/>
        <v>Sat</v>
      </c>
    </row>
    <row r="335" spans="1:8" ht="13.2" x14ac:dyDescent="0.25">
      <c r="A335" s="1">
        <v>46207</v>
      </c>
      <c r="B335" s="2" t="s">
        <v>236</v>
      </c>
      <c r="C335" s="3">
        <v>1</v>
      </c>
      <c r="D335" s="4">
        <f t="shared" si="3"/>
        <v>12000</v>
      </c>
      <c r="E335" s="4">
        <v>12000</v>
      </c>
      <c r="F335" s="5"/>
      <c r="G335" s="7" t="str">
        <f t="shared" si="4"/>
        <v>Jul</v>
      </c>
      <c r="H335" s="7" t="str">
        <f t="shared" si="5"/>
        <v>Sat</v>
      </c>
    </row>
    <row r="336" spans="1:8" ht="13.2" x14ac:dyDescent="0.25">
      <c r="A336" s="1">
        <v>46209</v>
      </c>
      <c r="B336" s="2" t="s">
        <v>13</v>
      </c>
      <c r="C336" s="3">
        <v>1</v>
      </c>
      <c r="D336" s="4">
        <f t="shared" si="3"/>
        <v>40000</v>
      </c>
      <c r="E336" s="4">
        <v>40000</v>
      </c>
      <c r="F336" s="5"/>
      <c r="G336" s="7" t="str">
        <f t="shared" si="4"/>
        <v>Jul</v>
      </c>
      <c r="H336" s="7" t="str">
        <f t="shared" si="5"/>
        <v>Mon</v>
      </c>
    </row>
    <row r="337" spans="1:8" ht="13.2" x14ac:dyDescent="0.25">
      <c r="A337" s="1">
        <v>46209</v>
      </c>
      <c r="B337" s="2" t="s">
        <v>102</v>
      </c>
      <c r="C337" s="3">
        <v>1</v>
      </c>
      <c r="D337" s="4">
        <f t="shared" si="3"/>
        <v>17000</v>
      </c>
      <c r="E337" s="4">
        <v>17000</v>
      </c>
      <c r="F337" s="5"/>
      <c r="G337" s="7" t="str">
        <f t="shared" si="4"/>
        <v>Jul</v>
      </c>
      <c r="H337" s="7" t="str">
        <f t="shared" si="5"/>
        <v>Mon</v>
      </c>
    </row>
    <row r="338" spans="1:8" ht="13.2" x14ac:dyDescent="0.25">
      <c r="A338" s="1">
        <v>46209</v>
      </c>
      <c r="B338" s="2" t="s">
        <v>103</v>
      </c>
      <c r="C338" s="3">
        <v>1</v>
      </c>
      <c r="D338" s="4">
        <f t="shared" si="3"/>
        <v>12000</v>
      </c>
      <c r="E338" s="4">
        <v>12000</v>
      </c>
      <c r="F338" s="5"/>
      <c r="G338" s="7" t="str">
        <f t="shared" si="4"/>
        <v>Jul</v>
      </c>
      <c r="H338" s="7" t="str">
        <f t="shared" si="5"/>
        <v>Mon</v>
      </c>
    </row>
    <row r="339" spans="1:8" ht="13.2" x14ac:dyDescent="0.25">
      <c r="A339" s="1">
        <v>46209</v>
      </c>
      <c r="B339" s="2" t="s">
        <v>99</v>
      </c>
      <c r="C339" s="3">
        <v>1</v>
      </c>
      <c r="D339" s="4">
        <f t="shared" si="3"/>
        <v>26000</v>
      </c>
      <c r="E339" s="4">
        <v>26000</v>
      </c>
      <c r="F339" s="5"/>
      <c r="G339" s="7" t="str">
        <f t="shared" si="4"/>
        <v>Jul</v>
      </c>
      <c r="H339" s="7" t="str">
        <f t="shared" si="5"/>
        <v>Mon</v>
      </c>
    </row>
    <row r="340" spans="1:8" ht="13.2" x14ac:dyDescent="0.25">
      <c r="A340" s="1">
        <v>46209</v>
      </c>
      <c r="B340" s="2" t="s">
        <v>84</v>
      </c>
      <c r="C340" s="3">
        <v>1</v>
      </c>
      <c r="D340" s="4">
        <f t="shared" si="3"/>
        <v>35000</v>
      </c>
      <c r="E340" s="4">
        <v>35000</v>
      </c>
      <c r="F340" s="5"/>
      <c r="G340" s="7" t="str">
        <f t="shared" si="4"/>
        <v>Jul</v>
      </c>
      <c r="H340" s="7" t="str">
        <f t="shared" si="5"/>
        <v>Mon</v>
      </c>
    </row>
    <row r="341" spans="1:8" ht="13.2" x14ac:dyDescent="0.25">
      <c r="A341" s="1">
        <v>46209</v>
      </c>
      <c r="B341" s="2" t="s">
        <v>63</v>
      </c>
      <c r="C341" s="3">
        <v>1</v>
      </c>
      <c r="D341" s="4">
        <f t="shared" si="3"/>
        <v>22000</v>
      </c>
      <c r="E341" s="4">
        <v>22000</v>
      </c>
      <c r="F341" s="5"/>
      <c r="G341" s="7" t="str">
        <f t="shared" si="4"/>
        <v>Jul</v>
      </c>
      <c r="H341" s="7" t="str">
        <f t="shared" si="5"/>
        <v>Mon</v>
      </c>
    </row>
    <row r="342" spans="1:8" ht="13.2" x14ac:dyDescent="0.25">
      <c r="A342" s="1">
        <v>46209</v>
      </c>
      <c r="B342" s="2" t="s">
        <v>61</v>
      </c>
      <c r="C342" s="3">
        <v>1</v>
      </c>
      <c r="D342" s="4">
        <f t="shared" si="3"/>
        <v>17000</v>
      </c>
      <c r="E342" s="4">
        <v>17000</v>
      </c>
      <c r="F342" s="5"/>
      <c r="G342" s="7" t="str">
        <f t="shared" si="4"/>
        <v>Jul</v>
      </c>
      <c r="H342" s="7" t="str">
        <f t="shared" si="5"/>
        <v>Mon</v>
      </c>
    </row>
    <row r="343" spans="1:8" ht="13.2" x14ac:dyDescent="0.25">
      <c r="A343" s="1">
        <v>46209</v>
      </c>
      <c r="B343" s="2" t="s">
        <v>200</v>
      </c>
      <c r="C343" s="3">
        <v>1</v>
      </c>
      <c r="D343" s="4">
        <f t="shared" si="3"/>
        <v>12000</v>
      </c>
      <c r="E343" s="4">
        <v>12000</v>
      </c>
      <c r="F343" s="5"/>
      <c r="G343" s="7" t="str">
        <f t="shared" si="4"/>
        <v>Jul</v>
      </c>
      <c r="H343" s="7" t="str">
        <f t="shared" si="5"/>
        <v>Mon</v>
      </c>
    </row>
    <row r="344" spans="1:8" ht="13.2" x14ac:dyDescent="0.25">
      <c r="A344" s="1">
        <v>46209</v>
      </c>
      <c r="B344" s="2" t="s">
        <v>10</v>
      </c>
      <c r="C344" s="3">
        <v>1</v>
      </c>
      <c r="D344" s="4">
        <f t="shared" si="3"/>
        <v>25000</v>
      </c>
      <c r="E344" s="4">
        <v>25000</v>
      </c>
      <c r="F344" s="5"/>
      <c r="G344" s="7" t="str">
        <f t="shared" si="4"/>
        <v>Jul</v>
      </c>
      <c r="H344" s="7" t="str">
        <f t="shared" si="5"/>
        <v>Mon</v>
      </c>
    </row>
    <row r="345" spans="1:8" ht="13.2" x14ac:dyDescent="0.25">
      <c r="A345" s="1">
        <v>46210</v>
      </c>
      <c r="B345" s="2" t="s">
        <v>185</v>
      </c>
      <c r="C345" s="3">
        <v>1</v>
      </c>
      <c r="D345" s="4">
        <f t="shared" si="3"/>
        <v>42000</v>
      </c>
      <c r="E345" s="4">
        <v>42000</v>
      </c>
      <c r="F345" s="5"/>
      <c r="G345" s="7" t="str">
        <f t="shared" si="4"/>
        <v>Jul</v>
      </c>
      <c r="H345" s="7" t="str">
        <f t="shared" si="5"/>
        <v>Tue</v>
      </c>
    </row>
    <row r="346" spans="1:8" ht="13.2" x14ac:dyDescent="0.25">
      <c r="A346" s="1">
        <v>46210</v>
      </c>
      <c r="B346" s="2" t="s">
        <v>123</v>
      </c>
      <c r="C346" s="3">
        <v>1</v>
      </c>
      <c r="D346" s="4">
        <f t="shared" si="3"/>
        <v>17000</v>
      </c>
      <c r="E346" s="4">
        <v>17000</v>
      </c>
      <c r="F346" s="5"/>
      <c r="G346" s="7" t="str">
        <f t="shared" si="4"/>
        <v>Jul</v>
      </c>
      <c r="H346" s="7" t="str">
        <f t="shared" si="5"/>
        <v>Tue</v>
      </c>
    </row>
    <row r="347" spans="1:8" ht="13.2" x14ac:dyDescent="0.25">
      <c r="A347" s="1">
        <v>46210</v>
      </c>
      <c r="B347" s="2" t="s">
        <v>110</v>
      </c>
      <c r="C347" s="3">
        <v>1</v>
      </c>
      <c r="D347" s="4">
        <f t="shared" si="3"/>
        <v>45000</v>
      </c>
      <c r="E347" s="4">
        <v>45000</v>
      </c>
      <c r="F347" s="5"/>
      <c r="G347" s="7" t="str">
        <f t="shared" si="4"/>
        <v>Jul</v>
      </c>
      <c r="H347" s="7" t="str">
        <f t="shared" si="5"/>
        <v>Tue</v>
      </c>
    </row>
    <row r="348" spans="1:8" ht="13.2" x14ac:dyDescent="0.25">
      <c r="A348" s="1">
        <v>46211</v>
      </c>
      <c r="B348" s="2" t="s">
        <v>124</v>
      </c>
      <c r="C348" s="3">
        <v>1</v>
      </c>
      <c r="D348" s="4">
        <f t="shared" si="3"/>
        <v>65000</v>
      </c>
      <c r="E348" s="4">
        <v>65000</v>
      </c>
      <c r="F348" s="5"/>
      <c r="G348" s="7" t="str">
        <f t="shared" si="4"/>
        <v>Jul</v>
      </c>
      <c r="H348" s="7" t="str">
        <f t="shared" si="5"/>
        <v>Wed</v>
      </c>
    </row>
    <row r="349" spans="1:8" ht="13.2" x14ac:dyDescent="0.25">
      <c r="A349" s="1">
        <v>46211</v>
      </c>
      <c r="B349" s="2" t="s">
        <v>200</v>
      </c>
      <c r="C349" s="3">
        <v>1</v>
      </c>
      <c r="D349" s="4">
        <f t="shared" si="3"/>
        <v>5000</v>
      </c>
      <c r="E349" s="4">
        <v>5000</v>
      </c>
      <c r="F349" s="5"/>
      <c r="G349" s="7" t="str">
        <f t="shared" si="4"/>
        <v>Jul</v>
      </c>
      <c r="H349" s="7" t="str">
        <f t="shared" si="5"/>
        <v>Wed</v>
      </c>
    </row>
    <row r="350" spans="1:8" ht="13.2" x14ac:dyDescent="0.25">
      <c r="A350" s="1">
        <v>46211</v>
      </c>
      <c r="B350" s="2" t="s">
        <v>136</v>
      </c>
      <c r="C350" s="3">
        <v>1</v>
      </c>
      <c r="D350" s="4">
        <f t="shared" si="3"/>
        <v>35000</v>
      </c>
      <c r="E350" s="4">
        <v>35000</v>
      </c>
      <c r="F350" s="5"/>
      <c r="G350" s="7" t="str">
        <f t="shared" si="4"/>
        <v>Jul</v>
      </c>
      <c r="H350" s="7" t="str">
        <f t="shared" si="5"/>
        <v>Wed</v>
      </c>
    </row>
    <row r="351" spans="1:8" ht="13.2" x14ac:dyDescent="0.25">
      <c r="A351" s="1">
        <v>46211</v>
      </c>
      <c r="B351" s="2" t="s">
        <v>123</v>
      </c>
      <c r="C351" s="3">
        <v>2</v>
      </c>
      <c r="D351" s="4">
        <f t="shared" si="3"/>
        <v>10000</v>
      </c>
      <c r="E351" s="4">
        <v>20000</v>
      </c>
      <c r="F351" s="5"/>
      <c r="G351" s="7" t="str">
        <f t="shared" si="4"/>
        <v>Jul</v>
      </c>
      <c r="H351" s="7" t="str">
        <f t="shared" si="5"/>
        <v>Wed</v>
      </c>
    </row>
    <row r="352" spans="1:8" ht="13.2" x14ac:dyDescent="0.25">
      <c r="A352" s="1">
        <v>46211</v>
      </c>
      <c r="B352" s="2" t="s">
        <v>72</v>
      </c>
      <c r="C352" s="3">
        <v>1</v>
      </c>
      <c r="D352" s="4">
        <f t="shared" si="3"/>
        <v>37000</v>
      </c>
      <c r="E352" s="4">
        <v>37000</v>
      </c>
      <c r="F352" s="5"/>
      <c r="G352" s="7" t="str">
        <f t="shared" si="4"/>
        <v>Jul</v>
      </c>
      <c r="H352" s="7" t="str">
        <f t="shared" si="5"/>
        <v>Wed</v>
      </c>
    </row>
    <row r="353" spans="1:8" ht="13.2" x14ac:dyDescent="0.25">
      <c r="A353" s="1">
        <v>46212</v>
      </c>
      <c r="B353" s="2" t="s">
        <v>185</v>
      </c>
      <c r="C353" s="3">
        <v>1</v>
      </c>
      <c r="D353" s="4">
        <f t="shared" si="3"/>
        <v>40000</v>
      </c>
      <c r="E353" s="4">
        <v>40000</v>
      </c>
      <c r="F353" s="5"/>
      <c r="G353" s="7" t="str">
        <f t="shared" si="4"/>
        <v>Jul</v>
      </c>
      <c r="H353" s="7" t="str">
        <f t="shared" si="5"/>
        <v>Thu</v>
      </c>
    </row>
    <row r="354" spans="1:8" ht="13.2" x14ac:dyDescent="0.25">
      <c r="A354" s="1">
        <v>46212</v>
      </c>
      <c r="B354" s="2" t="s">
        <v>38</v>
      </c>
      <c r="C354" s="3">
        <v>1</v>
      </c>
      <c r="D354" s="4">
        <f t="shared" si="3"/>
        <v>44000</v>
      </c>
      <c r="E354" s="4">
        <v>44000</v>
      </c>
      <c r="F354" s="5"/>
      <c r="G354" s="7" t="str">
        <f t="shared" si="4"/>
        <v>Jul</v>
      </c>
      <c r="H354" s="7" t="str">
        <f t="shared" si="5"/>
        <v>Thu</v>
      </c>
    </row>
    <row r="355" spans="1:8" ht="13.2" x14ac:dyDescent="0.25">
      <c r="A355" s="1">
        <v>46213</v>
      </c>
      <c r="B355" s="2" t="s">
        <v>178</v>
      </c>
      <c r="C355" s="3">
        <v>1</v>
      </c>
      <c r="D355" s="4">
        <f t="shared" si="3"/>
        <v>50000</v>
      </c>
      <c r="E355" s="4">
        <v>50000</v>
      </c>
      <c r="F355" s="5"/>
      <c r="G355" s="7" t="str">
        <f t="shared" si="4"/>
        <v>Jul</v>
      </c>
      <c r="H355" s="7" t="str">
        <f t="shared" si="5"/>
        <v>Fri</v>
      </c>
    </row>
    <row r="356" spans="1:8" ht="13.2" x14ac:dyDescent="0.25">
      <c r="A356" s="1">
        <v>46213</v>
      </c>
      <c r="B356" s="2" t="s">
        <v>148</v>
      </c>
      <c r="C356" s="3">
        <v>1</v>
      </c>
      <c r="D356" s="4">
        <f t="shared" si="3"/>
        <v>15000</v>
      </c>
      <c r="E356" s="4">
        <v>15000</v>
      </c>
      <c r="F356" s="5"/>
      <c r="G356" s="7" t="str">
        <f t="shared" si="4"/>
        <v>Jul</v>
      </c>
      <c r="H356" s="7" t="str">
        <f t="shared" si="5"/>
        <v>Fri</v>
      </c>
    </row>
    <row r="357" spans="1:8" ht="13.2" x14ac:dyDescent="0.25">
      <c r="A357" s="1">
        <v>46213</v>
      </c>
      <c r="B357" s="2" t="s">
        <v>10</v>
      </c>
      <c r="C357" s="3">
        <v>1</v>
      </c>
      <c r="D357" s="4">
        <f t="shared" si="3"/>
        <v>25000</v>
      </c>
      <c r="E357" s="4">
        <v>25000</v>
      </c>
      <c r="F357" s="5"/>
      <c r="G357" s="7" t="str">
        <f t="shared" si="4"/>
        <v>Jul</v>
      </c>
      <c r="H357" s="7" t="str">
        <f t="shared" si="5"/>
        <v>Fri</v>
      </c>
    </row>
    <row r="358" spans="1:8" ht="13.2" x14ac:dyDescent="0.25">
      <c r="A358" s="1">
        <v>46213</v>
      </c>
      <c r="B358" s="2" t="s">
        <v>96</v>
      </c>
      <c r="C358" s="3">
        <v>1</v>
      </c>
      <c r="D358" s="4">
        <f t="shared" si="3"/>
        <v>85000</v>
      </c>
      <c r="E358" s="4">
        <v>85000</v>
      </c>
      <c r="F358" s="5"/>
      <c r="G358" s="7" t="str">
        <f t="shared" si="4"/>
        <v>Jul</v>
      </c>
      <c r="H358" s="7" t="str">
        <f t="shared" si="5"/>
        <v>Fri</v>
      </c>
    </row>
    <row r="359" spans="1:8" ht="13.2" x14ac:dyDescent="0.25">
      <c r="A359" s="1">
        <v>46214</v>
      </c>
      <c r="B359" s="2" t="s">
        <v>13</v>
      </c>
      <c r="C359" s="3">
        <v>1</v>
      </c>
      <c r="D359" s="4">
        <f t="shared" si="3"/>
        <v>45000</v>
      </c>
      <c r="E359" s="4">
        <v>45000</v>
      </c>
      <c r="F359" s="5"/>
      <c r="G359" s="7" t="str">
        <f t="shared" si="4"/>
        <v>Jul</v>
      </c>
      <c r="H359" s="7" t="str">
        <f t="shared" si="5"/>
        <v>Sat</v>
      </c>
    </row>
    <row r="360" spans="1:8" ht="13.2" x14ac:dyDescent="0.25">
      <c r="A360" s="1">
        <v>46214</v>
      </c>
      <c r="B360" s="2" t="s">
        <v>218</v>
      </c>
      <c r="C360" s="3">
        <v>1</v>
      </c>
      <c r="D360" s="4">
        <f t="shared" si="3"/>
        <v>130000</v>
      </c>
      <c r="E360" s="4">
        <v>130000</v>
      </c>
      <c r="F360" s="5"/>
      <c r="G360" s="7" t="str">
        <f t="shared" si="4"/>
        <v>Jul</v>
      </c>
      <c r="H360" s="7" t="str">
        <f t="shared" si="5"/>
        <v>Sat</v>
      </c>
    </row>
    <row r="361" spans="1:8" ht="13.2" x14ac:dyDescent="0.25">
      <c r="A361" s="1">
        <v>46214</v>
      </c>
      <c r="B361" s="2" t="s">
        <v>83</v>
      </c>
      <c r="C361" s="3">
        <v>1</v>
      </c>
      <c r="D361" s="4">
        <f t="shared" si="3"/>
        <v>57000</v>
      </c>
      <c r="E361" s="4">
        <v>57000</v>
      </c>
      <c r="F361" s="5"/>
      <c r="G361" s="7" t="str">
        <f t="shared" si="4"/>
        <v>Jul</v>
      </c>
      <c r="H361" s="7" t="str">
        <f t="shared" si="5"/>
        <v>Sat</v>
      </c>
    </row>
    <row r="362" spans="1:8" ht="13.2" x14ac:dyDescent="0.25">
      <c r="A362" s="1">
        <v>46214</v>
      </c>
      <c r="B362" s="2" t="s">
        <v>115</v>
      </c>
      <c r="C362" s="3">
        <v>1</v>
      </c>
      <c r="D362" s="4">
        <f t="shared" si="3"/>
        <v>30000</v>
      </c>
      <c r="E362" s="4">
        <v>30000</v>
      </c>
      <c r="F362" s="5"/>
      <c r="G362" s="7" t="str">
        <f t="shared" si="4"/>
        <v>Jul</v>
      </c>
      <c r="H362" s="7" t="str">
        <f t="shared" si="5"/>
        <v>Sat</v>
      </c>
    </row>
    <row r="363" spans="1:8" ht="13.2" x14ac:dyDescent="0.25">
      <c r="A363" s="1">
        <v>46214</v>
      </c>
      <c r="B363" s="2" t="s">
        <v>10</v>
      </c>
      <c r="C363" s="3">
        <v>1</v>
      </c>
      <c r="D363" s="4">
        <f t="shared" si="3"/>
        <v>25000</v>
      </c>
      <c r="E363" s="4">
        <v>25000</v>
      </c>
      <c r="F363" s="5"/>
      <c r="G363" s="7" t="str">
        <f t="shared" si="4"/>
        <v>Jul</v>
      </c>
      <c r="H363" s="7" t="str">
        <f t="shared" si="5"/>
        <v>Sat</v>
      </c>
    </row>
    <row r="364" spans="1:8" ht="13.2" x14ac:dyDescent="0.25">
      <c r="A364" s="1">
        <v>46216</v>
      </c>
      <c r="B364" s="2" t="s">
        <v>48</v>
      </c>
      <c r="C364" s="3">
        <v>1</v>
      </c>
      <c r="D364" s="4">
        <f t="shared" si="3"/>
        <v>15000</v>
      </c>
      <c r="E364" s="4">
        <v>15000</v>
      </c>
      <c r="F364" s="5"/>
      <c r="G364" s="7" t="str">
        <f t="shared" si="4"/>
        <v>Jul</v>
      </c>
      <c r="H364" s="7" t="str">
        <f t="shared" si="5"/>
        <v>Mon</v>
      </c>
    </row>
    <row r="365" spans="1:8" ht="13.2" x14ac:dyDescent="0.25">
      <c r="A365" s="1">
        <v>46216</v>
      </c>
      <c r="B365" s="2" t="s">
        <v>141</v>
      </c>
      <c r="C365" s="3">
        <v>1</v>
      </c>
      <c r="D365" s="4">
        <f t="shared" si="3"/>
        <v>12000</v>
      </c>
      <c r="E365" s="4">
        <v>12000</v>
      </c>
      <c r="F365" s="5"/>
      <c r="G365" s="7" t="str">
        <f t="shared" si="4"/>
        <v>Jul</v>
      </c>
      <c r="H365" s="7" t="str">
        <f t="shared" si="5"/>
        <v>Mon</v>
      </c>
    </row>
    <row r="366" spans="1:8" ht="13.2" x14ac:dyDescent="0.25">
      <c r="A366" s="1">
        <v>46216</v>
      </c>
      <c r="B366" s="2" t="s">
        <v>228</v>
      </c>
      <c r="C366" s="3">
        <v>1</v>
      </c>
      <c r="D366" s="4">
        <f t="shared" si="3"/>
        <v>10000</v>
      </c>
      <c r="E366" s="4">
        <v>10000</v>
      </c>
      <c r="F366" s="5"/>
      <c r="G366" s="7" t="str">
        <f t="shared" si="4"/>
        <v>Jul</v>
      </c>
      <c r="H366" s="7" t="str">
        <f t="shared" si="5"/>
        <v>Mon</v>
      </c>
    </row>
    <row r="367" spans="1:8" ht="13.2" x14ac:dyDescent="0.25">
      <c r="A367" s="1">
        <v>46216</v>
      </c>
      <c r="B367" s="2" t="s">
        <v>237</v>
      </c>
      <c r="C367" s="3">
        <v>1</v>
      </c>
      <c r="D367" s="4">
        <f t="shared" si="3"/>
        <v>10000</v>
      </c>
      <c r="E367" s="4">
        <v>10000</v>
      </c>
      <c r="F367" s="5"/>
      <c r="G367" s="7" t="str">
        <f t="shared" si="4"/>
        <v>Jul</v>
      </c>
      <c r="H367" s="7" t="str">
        <f t="shared" si="5"/>
        <v>Mon</v>
      </c>
    </row>
    <row r="368" spans="1:8" ht="13.2" x14ac:dyDescent="0.25">
      <c r="A368" s="1">
        <v>46216</v>
      </c>
      <c r="B368" s="2" t="s">
        <v>24</v>
      </c>
      <c r="C368" s="3">
        <v>1</v>
      </c>
      <c r="D368" s="4">
        <f t="shared" si="3"/>
        <v>15000</v>
      </c>
      <c r="E368" s="4">
        <v>15000</v>
      </c>
      <c r="F368" s="5"/>
      <c r="G368" s="7" t="str">
        <f t="shared" si="4"/>
        <v>Jul</v>
      </c>
      <c r="H368" s="7" t="str">
        <f t="shared" si="5"/>
        <v>Mon</v>
      </c>
    </row>
    <row r="369" spans="1:8" ht="13.2" x14ac:dyDescent="0.25">
      <c r="A369" s="1">
        <v>46216</v>
      </c>
      <c r="B369" s="2" t="s">
        <v>10</v>
      </c>
      <c r="C369" s="3">
        <v>2</v>
      </c>
      <c r="D369" s="4">
        <f t="shared" si="3"/>
        <v>25000</v>
      </c>
      <c r="E369" s="4">
        <v>50000</v>
      </c>
      <c r="F369" s="5" t="s">
        <v>14</v>
      </c>
      <c r="G369" s="7" t="str">
        <f t="shared" si="4"/>
        <v>Jul</v>
      </c>
      <c r="H369" s="7" t="str">
        <f t="shared" si="5"/>
        <v>Mon</v>
      </c>
    </row>
    <row r="370" spans="1:8" ht="13.2" x14ac:dyDescent="0.25">
      <c r="A370" s="1">
        <v>46216</v>
      </c>
      <c r="B370" s="2" t="s">
        <v>11</v>
      </c>
      <c r="C370" s="3">
        <v>1</v>
      </c>
      <c r="D370" s="4">
        <f t="shared" si="3"/>
        <v>25000</v>
      </c>
      <c r="E370" s="4">
        <v>25000</v>
      </c>
      <c r="F370" s="5"/>
      <c r="G370" s="7" t="str">
        <f t="shared" si="4"/>
        <v>Jul</v>
      </c>
      <c r="H370" s="7" t="str">
        <f t="shared" si="5"/>
        <v>Mon</v>
      </c>
    </row>
    <row r="371" spans="1:8" ht="13.2" x14ac:dyDescent="0.25">
      <c r="A371" s="1">
        <v>46216</v>
      </c>
      <c r="B371" s="2" t="s">
        <v>79</v>
      </c>
      <c r="C371" s="3">
        <v>1</v>
      </c>
      <c r="D371" s="4">
        <f t="shared" si="3"/>
        <v>57000</v>
      </c>
      <c r="E371" s="4">
        <v>57000</v>
      </c>
      <c r="F371" s="5"/>
      <c r="G371" s="7" t="str">
        <f t="shared" si="4"/>
        <v>Jul</v>
      </c>
      <c r="H371" s="7" t="str">
        <f t="shared" si="5"/>
        <v>Mon</v>
      </c>
    </row>
    <row r="372" spans="1:8" ht="13.2" x14ac:dyDescent="0.25">
      <c r="A372" s="1">
        <v>46216</v>
      </c>
      <c r="B372" s="2" t="s">
        <v>133</v>
      </c>
      <c r="C372" s="3">
        <v>1</v>
      </c>
      <c r="D372" s="4">
        <f t="shared" si="3"/>
        <v>75000</v>
      </c>
      <c r="E372" s="4">
        <v>75000</v>
      </c>
      <c r="F372" s="5" t="s">
        <v>14</v>
      </c>
      <c r="G372" s="7" t="str">
        <f t="shared" si="4"/>
        <v>Jul</v>
      </c>
      <c r="H372" s="7" t="str">
        <f t="shared" si="5"/>
        <v>Mon</v>
      </c>
    </row>
    <row r="373" spans="1:8" ht="13.2" x14ac:dyDescent="0.25">
      <c r="A373" s="1">
        <v>46217</v>
      </c>
      <c r="B373" s="2" t="s">
        <v>11</v>
      </c>
      <c r="C373" s="3">
        <v>1</v>
      </c>
      <c r="D373" s="4">
        <f t="shared" si="3"/>
        <v>25000</v>
      </c>
      <c r="E373" s="4">
        <v>25000</v>
      </c>
      <c r="F373" s="5" t="s">
        <v>14</v>
      </c>
      <c r="G373" s="7" t="str">
        <f t="shared" si="4"/>
        <v>Jul</v>
      </c>
      <c r="H373" s="7" t="str">
        <f t="shared" si="5"/>
        <v>Tue</v>
      </c>
    </row>
    <row r="374" spans="1:8" ht="13.2" x14ac:dyDescent="0.25">
      <c r="A374" s="1">
        <v>46217</v>
      </c>
      <c r="B374" s="2" t="s">
        <v>238</v>
      </c>
      <c r="C374" s="3">
        <v>1</v>
      </c>
      <c r="D374" s="4">
        <f t="shared" si="3"/>
        <v>15000</v>
      </c>
      <c r="E374" s="4">
        <v>15000</v>
      </c>
      <c r="F374" s="5" t="s">
        <v>14</v>
      </c>
      <c r="G374" s="7" t="str">
        <f t="shared" si="4"/>
        <v>Jul</v>
      </c>
      <c r="H374" s="7" t="str">
        <f t="shared" si="5"/>
        <v>Tue</v>
      </c>
    </row>
    <row r="375" spans="1:8" ht="13.2" x14ac:dyDescent="0.25">
      <c r="A375" s="1">
        <v>46217</v>
      </c>
      <c r="B375" s="2" t="s">
        <v>16</v>
      </c>
      <c r="C375" s="3">
        <v>2</v>
      </c>
      <c r="D375" s="4">
        <f t="shared" si="3"/>
        <v>10000</v>
      </c>
      <c r="E375" s="4">
        <v>20000</v>
      </c>
      <c r="F375" s="5"/>
      <c r="G375" s="7" t="str">
        <f t="shared" si="4"/>
        <v>Jul</v>
      </c>
      <c r="H375" s="7" t="str">
        <f t="shared" si="5"/>
        <v>Tue</v>
      </c>
    </row>
    <row r="376" spans="1:8" ht="13.2" x14ac:dyDescent="0.25">
      <c r="A376" s="1">
        <v>46217</v>
      </c>
      <c r="B376" s="2" t="s">
        <v>216</v>
      </c>
      <c r="C376" s="3">
        <v>1</v>
      </c>
      <c r="D376" s="4">
        <f t="shared" si="3"/>
        <v>125000</v>
      </c>
      <c r="E376" s="4">
        <v>125000</v>
      </c>
      <c r="F376" s="5"/>
      <c r="G376" s="7" t="str">
        <f t="shared" si="4"/>
        <v>Jul</v>
      </c>
      <c r="H376" s="7" t="str">
        <f t="shared" si="5"/>
        <v>Tue</v>
      </c>
    </row>
    <row r="377" spans="1:8" ht="13.2" x14ac:dyDescent="0.25">
      <c r="A377" s="1">
        <v>46217</v>
      </c>
      <c r="B377" s="2" t="s">
        <v>57</v>
      </c>
      <c r="C377" s="3">
        <v>1</v>
      </c>
      <c r="D377" s="4">
        <f t="shared" si="3"/>
        <v>9000</v>
      </c>
      <c r="E377" s="4">
        <v>9000</v>
      </c>
      <c r="F377" s="5"/>
      <c r="G377" s="7" t="str">
        <f t="shared" si="4"/>
        <v>Jul</v>
      </c>
      <c r="H377" s="7" t="str">
        <f t="shared" si="5"/>
        <v>Tue</v>
      </c>
    </row>
    <row r="378" spans="1:8" ht="13.2" x14ac:dyDescent="0.25">
      <c r="A378" s="1">
        <v>46218</v>
      </c>
      <c r="B378" s="2" t="s">
        <v>36</v>
      </c>
      <c r="C378" s="3">
        <v>1</v>
      </c>
      <c r="D378" s="4">
        <f t="shared" si="3"/>
        <v>52000</v>
      </c>
      <c r="E378" s="4">
        <v>52000</v>
      </c>
      <c r="F378" s="5" t="s">
        <v>14</v>
      </c>
      <c r="G378" s="7" t="str">
        <f t="shared" si="4"/>
        <v>Jul</v>
      </c>
      <c r="H378" s="7" t="str">
        <f t="shared" si="5"/>
        <v>Wed</v>
      </c>
    </row>
    <row r="379" spans="1:8" ht="13.2" x14ac:dyDescent="0.25">
      <c r="A379" s="1">
        <v>46219</v>
      </c>
      <c r="B379" s="2" t="s">
        <v>11</v>
      </c>
      <c r="C379" s="3">
        <v>1</v>
      </c>
      <c r="D379" s="4">
        <f t="shared" si="3"/>
        <v>25000</v>
      </c>
      <c r="E379" s="4">
        <v>25000</v>
      </c>
      <c r="F379" s="5"/>
      <c r="G379" s="7" t="str">
        <f t="shared" si="4"/>
        <v>Jul</v>
      </c>
      <c r="H379" s="7" t="str">
        <f t="shared" si="5"/>
        <v>Thu</v>
      </c>
    </row>
    <row r="380" spans="1:8" ht="13.2" x14ac:dyDescent="0.25">
      <c r="A380" s="1">
        <v>46220</v>
      </c>
      <c r="B380" s="2" t="s">
        <v>69</v>
      </c>
      <c r="C380" s="3">
        <v>1</v>
      </c>
      <c r="D380" s="4">
        <f t="shared" si="3"/>
        <v>55000</v>
      </c>
      <c r="E380" s="4">
        <v>55000</v>
      </c>
      <c r="F380" s="5"/>
      <c r="G380" s="7" t="str">
        <f t="shared" si="4"/>
        <v>Jul</v>
      </c>
      <c r="H380" s="7" t="str">
        <f t="shared" si="5"/>
        <v>Fri</v>
      </c>
    </row>
    <row r="381" spans="1:8" ht="13.2" x14ac:dyDescent="0.25">
      <c r="A381" s="1">
        <v>46220</v>
      </c>
      <c r="B381" s="2" t="s">
        <v>13</v>
      </c>
      <c r="C381" s="3">
        <v>1</v>
      </c>
      <c r="D381" s="4">
        <f t="shared" si="3"/>
        <v>45000</v>
      </c>
      <c r="E381" s="4">
        <v>45000</v>
      </c>
      <c r="F381" s="5"/>
      <c r="G381" s="7" t="str">
        <f t="shared" si="4"/>
        <v>Jul</v>
      </c>
      <c r="H381" s="7" t="str">
        <f t="shared" si="5"/>
        <v>Fri</v>
      </c>
    </row>
    <row r="382" spans="1:8" ht="13.2" x14ac:dyDescent="0.25">
      <c r="A382" s="1">
        <v>46220</v>
      </c>
      <c r="B382" s="2" t="s">
        <v>29</v>
      </c>
      <c r="C382" s="3">
        <v>1</v>
      </c>
      <c r="D382" s="4">
        <f t="shared" si="3"/>
        <v>60000</v>
      </c>
      <c r="E382" s="4">
        <v>60000</v>
      </c>
      <c r="F382" s="5" t="s">
        <v>14</v>
      </c>
      <c r="G382" s="7" t="str">
        <f t="shared" si="4"/>
        <v>Jul</v>
      </c>
      <c r="H382" s="7" t="str">
        <f t="shared" si="5"/>
        <v>Fri</v>
      </c>
    </row>
    <row r="383" spans="1:8" ht="13.2" x14ac:dyDescent="0.25">
      <c r="A383" s="1">
        <v>46220</v>
      </c>
      <c r="B383" s="2" t="s">
        <v>117</v>
      </c>
      <c r="C383" s="3">
        <v>1</v>
      </c>
      <c r="D383" s="4">
        <f t="shared" si="3"/>
        <v>12000</v>
      </c>
      <c r="E383" s="4">
        <v>12000</v>
      </c>
      <c r="F383" s="5"/>
      <c r="G383" s="7" t="str">
        <f t="shared" si="4"/>
        <v>Jul</v>
      </c>
      <c r="H383" s="7" t="str">
        <f t="shared" si="5"/>
        <v>Fri</v>
      </c>
    </row>
    <row r="384" spans="1:8" ht="13.2" x14ac:dyDescent="0.25">
      <c r="A384" s="1">
        <v>46220</v>
      </c>
      <c r="B384" s="2" t="s">
        <v>167</v>
      </c>
      <c r="C384" s="3">
        <v>2</v>
      </c>
      <c r="D384" s="4">
        <f t="shared" si="3"/>
        <v>10000</v>
      </c>
      <c r="E384" s="4">
        <v>20000</v>
      </c>
      <c r="F384" s="5"/>
      <c r="G384" s="7" t="str">
        <f t="shared" si="4"/>
        <v>Jul</v>
      </c>
      <c r="H384" s="7" t="str">
        <f t="shared" si="5"/>
        <v>Fri</v>
      </c>
    </row>
    <row r="385" spans="1:8" ht="13.2" x14ac:dyDescent="0.25">
      <c r="A385" s="1">
        <v>46221</v>
      </c>
      <c r="B385" s="2" t="s">
        <v>204</v>
      </c>
      <c r="C385" s="3">
        <v>1</v>
      </c>
      <c r="D385" s="4">
        <f t="shared" si="3"/>
        <v>77500</v>
      </c>
      <c r="E385" s="4">
        <v>77500</v>
      </c>
      <c r="F385" s="5"/>
      <c r="G385" s="7" t="str">
        <f t="shared" si="4"/>
        <v>Jul</v>
      </c>
      <c r="H385" s="7" t="str">
        <f t="shared" si="5"/>
        <v>Sat</v>
      </c>
    </row>
    <row r="386" spans="1:8" ht="13.2" x14ac:dyDescent="0.25">
      <c r="A386" s="1">
        <v>46221</v>
      </c>
      <c r="B386" s="2" t="s">
        <v>10</v>
      </c>
      <c r="C386" s="3">
        <v>1</v>
      </c>
      <c r="D386" s="4">
        <f t="shared" si="3"/>
        <v>25000</v>
      </c>
      <c r="E386" s="4">
        <v>25000</v>
      </c>
      <c r="F386" s="5"/>
      <c r="G386" s="7" t="str">
        <f t="shared" si="4"/>
        <v>Jul</v>
      </c>
      <c r="H386" s="7" t="str">
        <f t="shared" si="5"/>
        <v>Sat</v>
      </c>
    </row>
    <row r="387" spans="1:8" ht="13.2" x14ac:dyDescent="0.25">
      <c r="A387" s="1">
        <v>46221</v>
      </c>
      <c r="B387" s="2" t="s">
        <v>36</v>
      </c>
      <c r="C387" s="3">
        <v>1</v>
      </c>
      <c r="D387" s="4">
        <f t="shared" si="3"/>
        <v>52000</v>
      </c>
      <c r="E387" s="4">
        <v>52000</v>
      </c>
      <c r="F387" s="5"/>
      <c r="G387" s="7" t="str">
        <f t="shared" si="4"/>
        <v>Jul</v>
      </c>
      <c r="H387" s="7" t="str">
        <f t="shared" si="5"/>
        <v>Sat</v>
      </c>
    </row>
    <row r="388" spans="1:8" ht="13.2" x14ac:dyDescent="0.25">
      <c r="A388" s="1">
        <v>46221</v>
      </c>
      <c r="B388" s="2" t="s">
        <v>112</v>
      </c>
      <c r="C388" s="3">
        <v>1</v>
      </c>
      <c r="D388" s="4">
        <f t="shared" si="3"/>
        <v>45000</v>
      </c>
      <c r="E388" s="4">
        <v>45000</v>
      </c>
      <c r="F388" s="5"/>
      <c r="G388" s="7" t="str">
        <f t="shared" si="4"/>
        <v>Jul</v>
      </c>
      <c r="H388" s="7" t="str">
        <f t="shared" si="5"/>
        <v>Sat</v>
      </c>
    </row>
    <row r="389" spans="1:8" ht="13.2" x14ac:dyDescent="0.25">
      <c r="A389" s="1">
        <v>46221</v>
      </c>
      <c r="B389" s="2" t="s">
        <v>15</v>
      </c>
      <c r="C389" s="3">
        <v>1</v>
      </c>
      <c r="D389" s="4">
        <f t="shared" si="3"/>
        <v>26000</v>
      </c>
      <c r="E389" s="4">
        <v>26000</v>
      </c>
      <c r="F389" s="5"/>
      <c r="G389" s="7" t="str">
        <f t="shared" si="4"/>
        <v>Jul</v>
      </c>
      <c r="H389" s="7" t="str">
        <f t="shared" si="5"/>
        <v>Sat</v>
      </c>
    </row>
    <row r="390" spans="1:8" ht="13.2" x14ac:dyDescent="0.25">
      <c r="A390" s="1">
        <v>46221</v>
      </c>
      <c r="B390" s="2" t="s">
        <v>92</v>
      </c>
      <c r="C390" s="3">
        <v>1</v>
      </c>
      <c r="D390" s="4">
        <f t="shared" si="3"/>
        <v>12000</v>
      </c>
      <c r="E390" s="4">
        <v>12000</v>
      </c>
      <c r="F390" s="5"/>
      <c r="G390" s="7" t="str">
        <f t="shared" si="4"/>
        <v>Jul</v>
      </c>
      <c r="H390" s="7" t="str">
        <f t="shared" si="5"/>
        <v>Sat</v>
      </c>
    </row>
    <row r="391" spans="1:8" ht="13.2" x14ac:dyDescent="0.25">
      <c r="A391" s="1">
        <v>46221</v>
      </c>
      <c r="B391" s="2" t="s">
        <v>169</v>
      </c>
      <c r="C391" s="3">
        <v>1</v>
      </c>
      <c r="D391" s="4">
        <f t="shared" si="3"/>
        <v>3000</v>
      </c>
      <c r="E391" s="4">
        <v>3000</v>
      </c>
      <c r="F391" s="5"/>
      <c r="G391" s="7" t="str">
        <f t="shared" si="4"/>
        <v>Jul</v>
      </c>
      <c r="H391" s="7" t="str">
        <f t="shared" si="5"/>
        <v>Sat</v>
      </c>
    </row>
    <row r="392" spans="1:8" ht="13.2" x14ac:dyDescent="0.25">
      <c r="A392" s="1">
        <v>46221</v>
      </c>
      <c r="B392" s="2" t="s">
        <v>11</v>
      </c>
      <c r="C392" s="3">
        <v>1</v>
      </c>
      <c r="D392" s="4">
        <f t="shared" si="3"/>
        <v>25000</v>
      </c>
      <c r="E392" s="4">
        <v>25000</v>
      </c>
      <c r="F392" s="5"/>
      <c r="G392" s="7" t="str">
        <f t="shared" si="4"/>
        <v>Jul</v>
      </c>
      <c r="H392" s="7" t="str">
        <f t="shared" si="5"/>
        <v>Sat</v>
      </c>
    </row>
    <row r="393" spans="1:8" ht="13.2" x14ac:dyDescent="0.25">
      <c r="A393" s="1">
        <v>46221</v>
      </c>
      <c r="B393" s="2" t="s">
        <v>10</v>
      </c>
      <c r="C393" s="3">
        <v>1</v>
      </c>
      <c r="D393" s="4">
        <f t="shared" si="3"/>
        <v>25000</v>
      </c>
      <c r="E393" s="4">
        <v>25000</v>
      </c>
      <c r="F393" s="5"/>
      <c r="G393" s="7" t="str">
        <f t="shared" si="4"/>
        <v>Jul</v>
      </c>
      <c r="H393" s="7" t="str">
        <f t="shared" si="5"/>
        <v>Sat</v>
      </c>
    </row>
    <row r="394" spans="1:8" ht="13.2" x14ac:dyDescent="0.25">
      <c r="A394" s="1">
        <v>46221</v>
      </c>
      <c r="B394" s="2" t="s">
        <v>181</v>
      </c>
      <c r="C394" s="3">
        <v>1</v>
      </c>
      <c r="D394" s="4">
        <f t="shared" si="3"/>
        <v>57000</v>
      </c>
      <c r="E394" s="4">
        <v>57000</v>
      </c>
      <c r="F394" s="5"/>
      <c r="G394" s="7" t="str">
        <f t="shared" si="4"/>
        <v>Jul</v>
      </c>
      <c r="H394" s="7" t="str">
        <f t="shared" si="5"/>
        <v>Sat</v>
      </c>
    </row>
    <row r="395" spans="1:8" ht="13.2" x14ac:dyDescent="0.25">
      <c r="A395" s="1">
        <v>46223</v>
      </c>
      <c r="B395" s="2" t="s">
        <v>15</v>
      </c>
      <c r="C395" s="3">
        <v>1</v>
      </c>
      <c r="D395" s="4">
        <f t="shared" si="3"/>
        <v>26000</v>
      </c>
      <c r="E395" s="4">
        <v>26000</v>
      </c>
      <c r="F395" s="5"/>
      <c r="G395" s="7" t="str">
        <f t="shared" si="4"/>
        <v>Jul</v>
      </c>
      <c r="H395" s="7" t="str">
        <f t="shared" si="5"/>
        <v>Mon</v>
      </c>
    </row>
    <row r="396" spans="1:8" ht="13.2" x14ac:dyDescent="0.25">
      <c r="A396" s="1">
        <v>46223</v>
      </c>
      <c r="B396" s="2" t="s">
        <v>17</v>
      </c>
      <c r="C396" s="3">
        <v>3</v>
      </c>
      <c r="D396" s="4">
        <f t="shared" si="3"/>
        <v>10000</v>
      </c>
      <c r="E396" s="4">
        <v>30000</v>
      </c>
      <c r="F396" s="5"/>
      <c r="G396" s="7" t="str">
        <f t="shared" si="4"/>
        <v>Jul</v>
      </c>
      <c r="H396" s="7" t="str">
        <f t="shared" si="5"/>
        <v>Mon</v>
      </c>
    </row>
    <row r="397" spans="1:8" ht="13.2" x14ac:dyDescent="0.25">
      <c r="A397" s="1">
        <v>46223</v>
      </c>
      <c r="B397" s="2" t="s">
        <v>18</v>
      </c>
      <c r="C397" s="3">
        <v>1</v>
      </c>
      <c r="D397" s="4">
        <f t="shared" si="3"/>
        <v>10000</v>
      </c>
      <c r="E397" s="4">
        <v>10000</v>
      </c>
      <c r="F397" s="5"/>
      <c r="G397" s="7" t="str">
        <f t="shared" si="4"/>
        <v>Jul</v>
      </c>
      <c r="H397" s="7" t="str">
        <f t="shared" si="5"/>
        <v>Mon</v>
      </c>
    </row>
    <row r="398" spans="1:8" ht="13.2" x14ac:dyDescent="0.25">
      <c r="A398" s="1">
        <v>46223</v>
      </c>
      <c r="B398" s="2" t="s">
        <v>16</v>
      </c>
      <c r="C398" s="3">
        <v>1</v>
      </c>
      <c r="D398" s="4">
        <f t="shared" si="3"/>
        <v>10000</v>
      </c>
      <c r="E398" s="4">
        <v>10000</v>
      </c>
      <c r="F398" s="5"/>
      <c r="G398" s="7" t="str">
        <f t="shared" si="4"/>
        <v>Jul</v>
      </c>
      <c r="H398" s="7" t="str">
        <f t="shared" si="5"/>
        <v>Mon</v>
      </c>
    </row>
    <row r="399" spans="1:8" ht="13.2" x14ac:dyDescent="0.25">
      <c r="A399" s="1">
        <v>46223</v>
      </c>
      <c r="B399" s="2" t="s">
        <v>188</v>
      </c>
      <c r="C399" s="3">
        <v>1</v>
      </c>
      <c r="D399" s="4">
        <f t="shared" si="3"/>
        <v>10000</v>
      </c>
      <c r="E399" s="4">
        <v>10000</v>
      </c>
      <c r="F399" s="5"/>
      <c r="G399" s="7" t="str">
        <f t="shared" si="4"/>
        <v>Jul</v>
      </c>
      <c r="H399" s="7" t="str">
        <f t="shared" si="5"/>
        <v>Mon</v>
      </c>
    </row>
    <row r="400" spans="1:8" ht="13.2" x14ac:dyDescent="0.25">
      <c r="A400" s="1">
        <v>46223</v>
      </c>
      <c r="B400" s="2" t="s">
        <v>44</v>
      </c>
      <c r="C400" s="3">
        <v>1</v>
      </c>
      <c r="D400" s="4">
        <f t="shared" si="3"/>
        <v>10000</v>
      </c>
      <c r="E400" s="4">
        <v>10000</v>
      </c>
      <c r="F400" s="5"/>
      <c r="G400" s="7" t="str">
        <f t="shared" si="4"/>
        <v>Jul</v>
      </c>
      <c r="H400" s="7" t="str">
        <f t="shared" si="5"/>
        <v>Mon</v>
      </c>
    </row>
    <row r="401" spans="1:8" ht="13.2" x14ac:dyDescent="0.25">
      <c r="A401" s="1">
        <v>46223</v>
      </c>
      <c r="B401" s="2" t="s">
        <v>47</v>
      </c>
      <c r="C401" s="3">
        <v>3</v>
      </c>
      <c r="D401" s="4">
        <f t="shared" si="3"/>
        <v>8000</v>
      </c>
      <c r="E401" s="4">
        <v>24000</v>
      </c>
      <c r="F401" s="5"/>
      <c r="G401" s="7" t="str">
        <f t="shared" si="4"/>
        <v>Jul</v>
      </c>
      <c r="H401" s="7" t="str">
        <f t="shared" si="5"/>
        <v>Mon</v>
      </c>
    </row>
    <row r="402" spans="1:8" ht="13.2" x14ac:dyDescent="0.25">
      <c r="A402" s="1">
        <v>46223</v>
      </c>
      <c r="B402" s="2" t="s">
        <v>202</v>
      </c>
      <c r="C402" s="3">
        <v>10</v>
      </c>
      <c r="D402" s="4">
        <f t="shared" si="3"/>
        <v>1000</v>
      </c>
      <c r="E402" s="4">
        <v>10000</v>
      </c>
      <c r="F402" s="5"/>
      <c r="G402" s="7" t="str">
        <f t="shared" si="4"/>
        <v>Jul</v>
      </c>
      <c r="H402" s="7" t="str">
        <f t="shared" si="5"/>
        <v>Mon</v>
      </c>
    </row>
    <row r="403" spans="1:8" ht="13.2" x14ac:dyDescent="0.25">
      <c r="A403" s="1">
        <v>46223</v>
      </c>
      <c r="B403" s="2" t="s">
        <v>16</v>
      </c>
      <c r="C403" s="3">
        <v>2</v>
      </c>
      <c r="D403" s="4">
        <f t="shared" si="3"/>
        <v>10000</v>
      </c>
      <c r="E403" s="4">
        <v>20000</v>
      </c>
      <c r="F403" s="5"/>
      <c r="G403" s="7" t="str">
        <f t="shared" si="4"/>
        <v>Jul</v>
      </c>
      <c r="H403" s="7" t="str">
        <f t="shared" si="5"/>
        <v>Mon</v>
      </c>
    </row>
    <row r="404" spans="1:8" ht="13.2" x14ac:dyDescent="0.25">
      <c r="A404" s="1">
        <v>46223</v>
      </c>
      <c r="B404" s="2" t="s">
        <v>103</v>
      </c>
      <c r="C404" s="3">
        <v>1</v>
      </c>
      <c r="D404" s="4">
        <f t="shared" si="3"/>
        <v>10000</v>
      </c>
      <c r="E404" s="4">
        <v>10000</v>
      </c>
      <c r="F404" s="5"/>
      <c r="G404" s="7" t="str">
        <f t="shared" si="4"/>
        <v>Jul</v>
      </c>
      <c r="H404" s="7" t="str">
        <f t="shared" si="5"/>
        <v>Mon</v>
      </c>
    </row>
    <row r="405" spans="1:8" ht="13.2" x14ac:dyDescent="0.25">
      <c r="A405" s="1">
        <v>46223</v>
      </c>
      <c r="B405" s="2" t="s">
        <v>214</v>
      </c>
      <c r="C405" s="3">
        <v>1</v>
      </c>
      <c r="D405" s="4">
        <f t="shared" si="3"/>
        <v>35000</v>
      </c>
      <c r="E405" s="4">
        <v>35000</v>
      </c>
      <c r="F405" s="5"/>
      <c r="G405" s="7" t="str">
        <f t="shared" si="4"/>
        <v>Jul</v>
      </c>
      <c r="H405" s="7" t="str">
        <f t="shared" si="5"/>
        <v>Mon</v>
      </c>
    </row>
    <row r="406" spans="1:8" ht="13.2" x14ac:dyDescent="0.25">
      <c r="A406" s="1">
        <v>46223</v>
      </c>
      <c r="B406" s="2" t="s">
        <v>42</v>
      </c>
      <c r="C406" s="3">
        <v>1</v>
      </c>
      <c r="D406" s="4">
        <f t="shared" si="3"/>
        <v>17000</v>
      </c>
      <c r="E406" s="4">
        <v>17000</v>
      </c>
      <c r="F406" s="5"/>
      <c r="G406" s="7" t="str">
        <f t="shared" si="4"/>
        <v>Jul</v>
      </c>
      <c r="H406" s="7" t="str">
        <f t="shared" si="5"/>
        <v>Mon</v>
      </c>
    </row>
    <row r="407" spans="1:8" ht="13.2" x14ac:dyDescent="0.25">
      <c r="A407" s="1">
        <v>46223</v>
      </c>
      <c r="B407" s="2" t="s">
        <v>118</v>
      </c>
      <c r="C407" s="3">
        <v>1</v>
      </c>
      <c r="D407" s="4">
        <f t="shared" si="3"/>
        <v>22000</v>
      </c>
      <c r="E407" s="4">
        <v>22000</v>
      </c>
      <c r="F407" s="5"/>
      <c r="G407" s="7" t="str">
        <f t="shared" si="4"/>
        <v>Jul</v>
      </c>
      <c r="H407" s="7" t="str">
        <f t="shared" si="5"/>
        <v>Mon</v>
      </c>
    </row>
    <row r="408" spans="1:8" ht="13.2" x14ac:dyDescent="0.25">
      <c r="A408" s="1">
        <v>46223</v>
      </c>
      <c r="B408" s="2" t="s">
        <v>120</v>
      </c>
      <c r="C408" s="3">
        <v>1</v>
      </c>
      <c r="D408" s="4">
        <f t="shared" si="3"/>
        <v>17000</v>
      </c>
      <c r="E408" s="4">
        <v>17000</v>
      </c>
      <c r="F408" s="5"/>
      <c r="G408" s="7" t="str">
        <f t="shared" si="4"/>
        <v>Jul</v>
      </c>
      <c r="H408" s="7" t="str">
        <f t="shared" si="5"/>
        <v>Mon</v>
      </c>
    </row>
    <row r="409" spans="1:8" ht="13.2" x14ac:dyDescent="0.25">
      <c r="A409" s="1">
        <v>46223</v>
      </c>
      <c r="B409" s="2" t="s">
        <v>121</v>
      </c>
      <c r="C409" s="3">
        <v>1</v>
      </c>
      <c r="D409" s="4">
        <f t="shared" si="3"/>
        <v>17000</v>
      </c>
      <c r="E409" s="4">
        <v>17000</v>
      </c>
      <c r="F409" s="5"/>
      <c r="G409" s="7" t="str">
        <f t="shared" si="4"/>
        <v>Jul</v>
      </c>
      <c r="H409" s="7" t="str">
        <f t="shared" si="5"/>
        <v>Mon</v>
      </c>
    </row>
    <row r="410" spans="1:8" ht="13.2" x14ac:dyDescent="0.25">
      <c r="A410" s="1">
        <v>46223</v>
      </c>
      <c r="B410" s="2" t="s">
        <v>227</v>
      </c>
      <c r="C410" s="3">
        <v>1</v>
      </c>
      <c r="D410" s="4">
        <f t="shared" si="3"/>
        <v>15000</v>
      </c>
      <c r="E410" s="4">
        <v>15000</v>
      </c>
      <c r="F410" s="5"/>
      <c r="G410" s="7" t="str">
        <f t="shared" si="4"/>
        <v>Jul</v>
      </c>
      <c r="H410" s="7" t="str">
        <f t="shared" si="5"/>
        <v>Mon</v>
      </c>
    </row>
    <row r="411" spans="1:8" ht="13.2" x14ac:dyDescent="0.25">
      <c r="A411" s="1">
        <v>46223</v>
      </c>
      <c r="B411" s="2" t="s">
        <v>46</v>
      </c>
      <c r="C411" s="3">
        <v>2</v>
      </c>
      <c r="D411" s="4">
        <f t="shared" si="3"/>
        <v>7000</v>
      </c>
      <c r="E411" s="4">
        <v>14000</v>
      </c>
      <c r="F411" s="5"/>
      <c r="G411" s="7" t="str">
        <f t="shared" si="4"/>
        <v>Jul</v>
      </c>
      <c r="H411" s="7" t="str">
        <f t="shared" si="5"/>
        <v>Mon</v>
      </c>
    </row>
    <row r="412" spans="1:8" ht="13.2" x14ac:dyDescent="0.25">
      <c r="A412" s="1">
        <v>46224</v>
      </c>
      <c r="B412" s="2" t="s">
        <v>10</v>
      </c>
      <c r="C412" s="3">
        <v>1</v>
      </c>
      <c r="D412" s="4">
        <f t="shared" si="3"/>
        <v>25000</v>
      </c>
      <c r="E412" s="4">
        <v>25000</v>
      </c>
      <c r="F412" s="5"/>
      <c r="G412" s="7" t="str">
        <f t="shared" si="4"/>
        <v>Jul</v>
      </c>
      <c r="H412" s="7" t="str">
        <f t="shared" si="5"/>
        <v>Tue</v>
      </c>
    </row>
    <row r="413" spans="1:8" ht="13.2" x14ac:dyDescent="0.25">
      <c r="A413" s="1">
        <v>46226</v>
      </c>
      <c r="B413" s="2" t="s">
        <v>16</v>
      </c>
      <c r="C413" s="3">
        <v>2</v>
      </c>
      <c r="D413" s="4">
        <f t="shared" si="3"/>
        <v>10000</v>
      </c>
      <c r="E413" s="4">
        <v>20000</v>
      </c>
      <c r="F413" s="5"/>
      <c r="G413" s="7" t="str">
        <f t="shared" si="4"/>
        <v>Jul</v>
      </c>
      <c r="H413" s="7" t="str">
        <f t="shared" si="5"/>
        <v>Thu</v>
      </c>
    </row>
    <row r="414" spans="1:8" ht="13.2" x14ac:dyDescent="0.25">
      <c r="A414" s="1">
        <v>46226</v>
      </c>
      <c r="B414" s="2" t="s">
        <v>17</v>
      </c>
      <c r="C414" s="3">
        <v>2</v>
      </c>
      <c r="D414" s="4">
        <f t="shared" si="3"/>
        <v>10000</v>
      </c>
      <c r="E414" s="4">
        <v>20000</v>
      </c>
      <c r="F414" s="5"/>
      <c r="G414" s="7" t="str">
        <f t="shared" si="4"/>
        <v>Jul</v>
      </c>
      <c r="H414" s="7" t="str">
        <f t="shared" si="5"/>
        <v>Thu</v>
      </c>
    </row>
    <row r="415" spans="1:8" ht="13.2" x14ac:dyDescent="0.25">
      <c r="A415" s="1">
        <v>46226</v>
      </c>
      <c r="B415" s="2" t="s">
        <v>169</v>
      </c>
      <c r="C415" s="3">
        <v>2</v>
      </c>
      <c r="D415" s="4">
        <f t="shared" si="3"/>
        <v>7000</v>
      </c>
      <c r="E415" s="4">
        <v>14000</v>
      </c>
      <c r="F415" s="5"/>
      <c r="G415" s="7" t="str">
        <f t="shared" si="4"/>
        <v>Jul</v>
      </c>
      <c r="H415" s="7" t="str">
        <f t="shared" si="5"/>
        <v>Thu</v>
      </c>
    </row>
    <row r="416" spans="1:8" ht="13.2" x14ac:dyDescent="0.25">
      <c r="A416" s="1">
        <v>46226</v>
      </c>
      <c r="B416" s="2" t="s">
        <v>90</v>
      </c>
      <c r="C416" s="3">
        <v>2</v>
      </c>
      <c r="D416" s="4">
        <f t="shared" si="3"/>
        <v>39000</v>
      </c>
      <c r="E416" s="4">
        <v>78000</v>
      </c>
      <c r="F416" s="5" t="s">
        <v>14</v>
      </c>
      <c r="G416" s="7" t="str">
        <f t="shared" si="4"/>
        <v>Jul</v>
      </c>
      <c r="H416" s="7" t="str">
        <f t="shared" si="5"/>
        <v>Thu</v>
      </c>
    </row>
    <row r="417" spans="1:8" ht="13.2" x14ac:dyDescent="0.25">
      <c r="A417" s="1">
        <v>46226</v>
      </c>
      <c r="B417" s="2" t="s">
        <v>42</v>
      </c>
      <c r="C417" s="3">
        <v>2</v>
      </c>
      <c r="D417" s="4">
        <f t="shared" si="3"/>
        <v>8500</v>
      </c>
      <c r="E417" s="4">
        <v>17000</v>
      </c>
      <c r="F417" s="5"/>
      <c r="G417" s="7" t="str">
        <f t="shared" si="4"/>
        <v>Jul</v>
      </c>
      <c r="H417" s="7" t="str">
        <f t="shared" si="5"/>
        <v>Thu</v>
      </c>
    </row>
    <row r="418" spans="1:8" ht="13.2" x14ac:dyDescent="0.25">
      <c r="A418" s="1">
        <v>46226</v>
      </c>
      <c r="B418" s="2" t="s">
        <v>109</v>
      </c>
      <c r="C418" s="3">
        <v>1</v>
      </c>
      <c r="D418" s="4">
        <f t="shared" si="3"/>
        <v>45000</v>
      </c>
      <c r="E418" s="4">
        <v>45000</v>
      </c>
      <c r="F418" s="5"/>
      <c r="G418" s="7" t="str">
        <f t="shared" si="4"/>
        <v>Jul</v>
      </c>
      <c r="H418" s="7" t="str">
        <f t="shared" si="5"/>
        <v>Thu</v>
      </c>
    </row>
    <row r="419" spans="1:8" ht="13.2" x14ac:dyDescent="0.25">
      <c r="A419" s="1">
        <v>46226</v>
      </c>
      <c r="B419" s="2" t="s">
        <v>100</v>
      </c>
      <c r="C419" s="3">
        <v>1</v>
      </c>
      <c r="D419" s="4">
        <f t="shared" si="3"/>
        <v>26000</v>
      </c>
      <c r="E419" s="4">
        <v>26000</v>
      </c>
      <c r="F419" s="5"/>
      <c r="G419" s="7" t="str">
        <f t="shared" si="4"/>
        <v>Jul</v>
      </c>
      <c r="H419" s="7" t="str">
        <f t="shared" si="5"/>
        <v>Thu</v>
      </c>
    </row>
    <row r="420" spans="1:8" ht="13.2" x14ac:dyDescent="0.25">
      <c r="A420" s="1">
        <v>46226</v>
      </c>
      <c r="B420" s="2" t="s">
        <v>91</v>
      </c>
      <c r="C420" s="3">
        <v>1</v>
      </c>
      <c r="D420" s="4">
        <f t="shared" si="3"/>
        <v>12000</v>
      </c>
      <c r="E420" s="4">
        <v>12000</v>
      </c>
      <c r="F420" s="5"/>
      <c r="G420" s="7" t="str">
        <f t="shared" si="4"/>
        <v>Jul</v>
      </c>
      <c r="H420" s="7" t="str">
        <f t="shared" si="5"/>
        <v>Thu</v>
      </c>
    </row>
    <row r="421" spans="1:8" ht="13.2" x14ac:dyDescent="0.25">
      <c r="A421" s="1">
        <v>46226</v>
      </c>
      <c r="B421" s="2" t="s">
        <v>42</v>
      </c>
      <c r="C421" s="3">
        <v>1</v>
      </c>
      <c r="D421" s="4">
        <f t="shared" si="3"/>
        <v>15000</v>
      </c>
      <c r="E421" s="4">
        <v>15000</v>
      </c>
      <c r="F421" s="5"/>
      <c r="G421" s="7" t="str">
        <f t="shared" si="4"/>
        <v>Jul</v>
      </c>
      <c r="H421" s="7" t="str">
        <f t="shared" si="5"/>
        <v>Thu</v>
      </c>
    </row>
    <row r="422" spans="1:8" ht="13.2" x14ac:dyDescent="0.25">
      <c r="A422" s="1">
        <v>46226</v>
      </c>
      <c r="B422" s="2" t="s">
        <v>193</v>
      </c>
      <c r="C422" s="3">
        <v>1</v>
      </c>
      <c r="D422" s="4">
        <f t="shared" si="3"/>
        <v>17000</v>
      </c>
      <c r="E422" s="4">
        <v>17000</v>
      </c>
      <c r="F422" s="5"/>
      <c r="G422" s="7" t="str">
        <f t="shared" si="4"/>
        <v>Jul</v>
      </c>
      <c r="H422" s="7" t="str">
        <f t="shared" si="5"/>
        <v>Thu</v>
      </c>
    </row>
    <row r="423" spans="1:8" ht="13.2" x14ac:dyDescent="0.25">
      <c r="A423" s="1">
        <v>46226</v>
      </c>
      <c r="B423" s="2" t="s">
        <v>169</v>
      </c>
      <c r="C423" s="3">
        <v>1</v>
      </c>
      <c r="D423" s="4">
        <f t="shared" si="3"/>
        <v>7000</v>
      </c>
      <c r="E423" s="4">
        <v>7000</v>
      </c>
      <c r="F423" s="5"/>
      <c r="G423" s="7" t="str">
        <f t="shared" si="4"/>
        <v>Jul</v>
      </c>
      <c r="H423" s="7" t="str">
        <f t="shared" si="5"/>
        <v>Thu</v>
      </c>
    </row>
    <row r="424" spans="1:8" ht="13.2" x14ac:dyDescent="0.25">
      <c r="A424" s="1">
        <v>46226</v>
      </c>
      <c r="B424" s="2" t="s">
        <v>197</v>
      </c>
      <c r="C424" s="3">
        <v>1</v>
      </c>
      <c r="D424" s="4">
        <f t="shared" si="3"/>
        <v>25000</v>
      </c>
      <c r="E424" s="4">
        <v>25000</v>
      </c>
      <c r="F424" s="5"/>
      <c r="G424" s="7" t="str">
        <f t="shared" si="4"/>
        <v>Jul</v>
      </c>
      <c r="H424" s="7" t="str">
        <f t="shared" si="5"/>
        <v>Thu</v>
      </c>
    </row>
    <row r="425" spans="1:8" ht="13.2" x14ac:dyDescent="0.25">
      <c r="A425" s="1">
        <v>46226</v>
      </c>
      <c r="B425" s="2" t="s">
        <v>95</v>
      </c>
      <c r="C425" s="3">
        <v>1</v>
      </c>
      <c r="D425" s="4">
        <f t="shared" si="3"/>
        <v>10000</v>
      </c>
      <c r="E425" s="4">
        <v>10000</v>
      </c>
      <c r="F425" s="5"/>
      <c r="G425" s="7" t="str">
        <f t="shared" si="4"/>
        <v>Jul</v>
      </c>
      <c r="H425" s="7" t="str">
        <f t="shared" si="5"/>
        <v>Thu</v>
      </c>
    </row>
    <row r="426" spans="1:8" ht="13.2" x14ac:dyDescent="0.25">
      <c r="A426" s="11"/>
      <c r="B426" s="9"/>
      <c r="C426" s="10"/>
      <c r="D426" s="8"/>
      <c r="E426" s="8"/>
    </row>
    <row r="427" spans="1:8" ht="13.2" x14ac:dyDescent="0.25">
      <c r="A427" s="11"/>
      <c r="B427" s="9"/>
      <c r="C427" s="10"/>
      <c r="D427" s="8"/>
      <c r="E427" s="8"/>
    </row>
    <row r="428" spans="1:8" ht="13.2" x14ac:dyDescent="0.25">
      <c r="A428" s="11"/>
      <c r="B428" s="9"/>
      <c r="C428" s="10"/>
      <c r="D428" s="8"/>
      <c r="E428" s="8"/>
    </row>
    <row r="429" spans="1:8" ht="13.2" x14ac:dyDescent="0.25">
      <c r="A429" s="11"/>
      <c r="B429" s="9"/>
      <c r="C429" s="10"/>
      <c r="D429" s="8"/>
      <c r="E429" s="8"/>
    </row>
    <row r="430" spans="1:8" ht="13.2" x14ac:dyDescent="0.25">
      <c r="A430" s="11"/>
      <c r="B430" s="9"/>
      <c r="C430" s="10"/>
      <c r="D430" s="8"/>
      <c r="E430" s="8"/>
    </row>
    <row r="431" spans="1:8" ht="13.2" x14ac:dyDescent="0.25">
      <c r="A431" s="11"/>
      <c r="B431" s="9"/>
      <c r="C431" s="10"/>
      <c r="D431" s="8"/>
      <c r="E431" s="8"/>
    </row>
    <row r="432" spans="1:8" ht="13.2" x14ac:dyDescent="0.25">
      <c r="A432" s="11"/>
      <c r="B432" s="9"/>
      <c r="C432" s="10"/>
      <c r="D432" s="8"/>
      <c r="E432" s="8"/>
    </row>
    <row r="433" spans="1:5" ht="13.2" x14ac:dyDescent="0.25">
      <c r="A433" s="11"/>
      <c r="B433" s="9"/>
      <c r="C433" s="10"/>
      <c r="D433" s="8"/>
      <c r="E433" s="8"/>
    </row>
    <row r="434" spans="1:5" ht="13.2" x14ac:dyDescent="0.25">
      <c r="A434" s="11"/>
      <c r="B434" s="9"/>
      <c r="C434" s="10"/>
      <c r="D434" s="8"/>
      <c r="E434" s="8"/>
    </row>
    <row r="435" spans="1:5" ht="13.2" x14ac:dyDescent="0.25">
      <c r="A435" s="11"/>
      <c r="B435" s="9"/>
      <c r="C435" s="10"/>
      <c r="D435" s="8"/>
      <c r="E435" s="8"/>
    </row>
    <row r="436" spans="1:5" ht="13.2" x14ac:dyDescent="0.25">
      <c r="A436" s="11"/>
      <c r="B436" s="9"/>
      <c r="C436" s="10"/>
      <c r="D436" s="8"/>
      <c r="E436" s="8"/>
    </row>
    <row r="437" spans="1:5" ht="13.2" x14ac:dyDescent="0.25">
      <c r="A437" s="11"/>
      <c r="B437" s="9"/>
      <c r="C437" s="10"/>
      <c r="D437" s="8"/>
      <c r="E437" s="8"/>
    </row>
    <row r="438" spans="1:5" ht="13.2" x14ac:dyDescent="0.25">
      <c r="A438" s="11"/>
      <c r="B438" s="9"/>
      <c r="C438" s="10"/>
      <c r="D438" s="8"/>
      <c r="E438" s="8"/>
    </row>
    <row r="439" spans="1:5" ht="13.2" x14ac:dyDescent="0.25">
      <c r="A439" s="11"/>
      <c r="B439" s="9"/>
      <c r="C439" s="10"/>
      <c r="D439" s="8"/>
      <c r="E439" s="8"/>
    </row>
    <row r="440" spans="1:5" ht="13.2" x14ac:dyDescent="0.25">
      <c r="A440" s="11"/>
      <c r="B440" s="9"/>
      <c r="C440" s="10"/>
      <c r="D440" s="8"/>
      <c r="E440" s="8"/>
    </row>
    <row r="441" spans="1:5" ht="13.2" x14ac:dyDescent="0.25">
      <c r="A441" s="11"/>
      <c r="B441" s="9"/>
      <c r="C441" s="10"/>
      <c r="D441" s="8"/>
      <c r="E441" s="8"/>
    </row>
    <row r="442" spans="1:5" ht="13.2" x14ac:dyDescent="0.25">
      <c r="A442" s="11"/>
      <c r="B442" s="9"/>
      <c r="C442" s="10"/>
      <c r="D442" s="8"/>
      <c r="E442" s="8"/>
    </row>
    <row r="443" spans="1:5" ht="13.2" x14ac:dyDescent="0.25">
      <c r="A443" s="11"/>
      <c r="B443" s="9"/>
      <c r="C443" s="10"/>
      <c r="D443" s="8"/>
      <c r="E443" s="8"/>
    </row>
    <row r="444" spans="1:5" ht="13.2" x14ac:dyDescent="0.25">
      <c r="A444" s="11"/>
      <c r="B444" s="9"/>
      <c r="C444" s="10"/>
      <c r="D444" s="8"/>
      <c r="E444" s="8"/>
    </row>
    <row r="445" spans="1:5" ht="13.2" x14ac:dyDescent="0.25">
      <c r="A445" s="11"/>
      <c r="B445" s="9"/>
      <c r="C445" s="10"/>
      <c r="D445" s="8"/>
      <c r="E445" s="8"/>
    </row>
    <row r="446" spans="1:5" ht="13.2" x14ac:dyDescent="0.25">
      <c r="A446" s="11"/>
      <c r="B446" s="9"/>
      <c r="C446" s="10"/>
      <c r="D446" s="8"/>
      <c r="E446" s="8"/>
    </row>
    <row r="447" spans="1:5" ht="13.2" x14ac:dyDescent="0.25">
      <c r="A447" s="11"/>
      <c r="B447" s="9"/>
      <c r="C447" s="10"/>
      <c r="D447" s="8"/>
      <c r="E447" s="8"/>
    </row>
    <row r="448" spans="1:5" ht="13.2" x14ac:dyDescent="0.25">
      <c r="A448" s="11"/>
      <c r="B448" s="9"/>
      <c r="C448" s="10"/>
      <c r="D448" s="8"/>
      <c r="E448" s="8"/>
    </row>
    <row r="449" spans="1:5" ht="13.2" x14ac:dyDescent="0.25">
      <c r="A449" s="11"/>
      <c r="B449" s="9"/>
      <c r="C449" s="10"/>
      <c r="D449" s="8"/>
      <c r="E449" s="8"/>
    </row>
    <row r="450" spans="1:5" ht="13.2" x14ac:dyDescent="0.25">
      <c r="A450" s="11"/>
      <c r="B450" s="9"/>
      <c r="C450" s="10"/>
      <c r="D450" s="8"/>
      <c r="E450" s="8"/>
    </row>
    <row r="451" spans="1:5" ht="13.2" x14ac:dyDescent="0.25">
      <c r="A451" s="11"/>
      <c r="B451" s="9"/>
      <c r="C451" s="10"/>
      <c r="D451" s="8"/>
      <c r="E451" s="8"/>
    </row>
    <row r="452" spans="1:5" ht="13.2" x14ac:dyDescent="0.25">
      <c r="A452" s="11"/>
      <c r="B452" s="9"/>
      <c r="C452" s="10"/>
      <c r="D452" s="8"/>
      <c r="E452" s="8"/>
    </row>
    <row r="453" spans="1:5" ht="13.2" x14ac:dyDescent="0.25">
      <c r="A453" s="11"/>
      <c r="B453" s="9"/>
      <c r="C453" s="10"/>
      <c r="D453" s="8"/>
      <c r="E453" s="8"/>
    </row>
    <row r="454" spans="1:5" ht="13.2" x14ac:dyDescent="0.25">
      <c r="A454" s="11"/>
      <c r="B454" s="9"/>
      <c r="C454" s="10"/>
      <c r="D454" s="8"/>
      <c r="E454" s="8"/>
    </row>
    <row r="455" spans="1:5" ht="13.2" x14ac:dyDescent="0.25">
      <c r="A455" s="11"/>
      <c r="B455" s="9"/>
      <c r="C455" s="10"/>
      <c r="D455" s="8"/>
      <c r="E455" s="8"/>
    </row>
    <row r="456" spans="1:5" ht="13.2" x14ac:dyDescent="0.25">
      <c r="A456" s="11"/>
      <c r="B456" s="9"/>
      <c r="C456" s="10"/>
      <c r="D456" s="8"/>
      <c r="E456" s="8"/>
    </row>
    <row r="457" spans="1:5" ht="13.2" x14ac:dyDescent="0.25">
      <c r="A457" s="11"/>
      <c r="B457" s="9"/>
      <c r="C457" s="10"/>
      <c r="D457" s="8"/>
      <c r="E457" s="8"/>
    </row>
    <row r="458" spans="1:5" ht="13.2" x14ac:dyDescent="0.25">
      <c r="A458" s="11"/>
      <c r="B458" s="9"/>
      <c r="C458" s="10"/>
      <c r="D458" s="8"/>
      <c r="E458" s="8"/>
    </row>
    <row r="459" spans="1:5" ht="13.2" x14ac:dyDescent="0.25">
      <c r="A459" s="11"/>
      <c r="B459" s="9"/>
      <c r="C459" s="10"/>
      <c r="D459" s="8"/>
      <c r="E459" s="8"/>
    </row>
    <row r="460" spans="1:5" ht="13.2" x14ac:dyDescent="0.25">
      <c r="A460" s="11"/>
      <c r="B460" s="9"/>
      <c r="C460" s="10"/>
      <c r="D460" s="8"/>
      <c r="E460" s="8"/>
    </row>
    <row r="461" spans="1:5" ht="13.2" x14ac:dyDescent="0.25">
      <c r="A461" s="11"/>
      <c r="B461" s="9"/>
      <c r="C461" s="10"/>
      <c r="D461" s="8"/>
      <c r="E461" s="8"/>
    </row>
    <row r="462" spans="1:5" ht="13.2" x14ac:dyDescent="0.25">
      <c r="A462" s="11"/>
      <c r="B462" s="9"/>
      <c r="C462" s="10"/>
      <c r="D462" s="8"/>
      <c r="E462" s="8"/>
    </row>
    <row r="463" spans="1:5" ht="13.2" x14ac:dyDescent="0.25">
      <c r="A463" s="11"/>
      <c r="B463" s="9"/>
      <c r="C463" s="10"/>
      <c r="D463" s="8"/>
      <c r="E463" s="8"/>
    </row>
    <row r="464" spans="1:5" ht="13.2" x14ac:dyDescent="0.25">
      <c r="A464" s="11"/>
      <c r="B464" s="9"/>
      <c r="C464" s="10"/>
      <c r="D464" s="8"/>
      <c r="E464" s="8"/>
    </row>
    <row r="465" spans="1:5" ht="13.2" x14ac:dyDescent="0.25">
      <c r="A465" s="11"/>
      <c r="B465" s="9"/>
      <c r="C465" s="10"/>
      <c r="D465" s="8"/>
      <c r="E465" s="8"/>
    </row>
    <row r="466" spans="1:5" ht="13.2" x14ac:dyDescent="0.25">
      <c r="A466" s="11"/>
      <c r="B466" s="9"/>
      <c r="C466" s="10"/>
      <c r="D466" s="8"/>
      <c r="E466" s="8"/>
    </row>
    <row r="467" spans="1:5" ht="13.2" x14ac:dyDescent="0.25">
      <c r="A467" s="11"/>
      <c r="B467" s="9"/>
      <c r="C467" s="10"/>
      <c r="D467" s="8"/>
      <c r="E467" s="8"/>
    </row>
    <row r="468" spans="1:5" ht="13.2" x14ac:dyDescent="0.25">
      <c r="A468" s="11"/>
      <c r="B468" s="9"/>
      <c r="C468" s="10"/>
      <c r="D468" s="8"/>
      <c r="E468" s="8"/>
    </row>
    <row r="469" spans="1:5" ht="13.2" x14ac:dyDescent="0.25">
      <c r="A469" s="11"/>
      <c r="B469" s="9"/>
      <c r="C469" s="10"/>
      <c r="D469" s="8"/>
      <c r="E469" s="8"/>
    </row>
    <row r="470" spans="1:5" ht="13.2" x14ac:dyDescent="0.25">
      <c r="A470" s="11"/>
      <c r="B470" s="9"/>
      <c r="C470" s="10"/>
      <c r="D470" s="8"/>
      <c r="E470" s="8"/>
    </row>
    <row r="471" spans="1:5" ht="13.2" x14ac:dyDescent="0.25">
      <c r="A471" s="11"/>
      <c r="B471" s="9"/>
      <c r="C471" s="10"/>
      <c r="D471" s="8"/>
      <c r="E471" s="8"/>
    </row>
    <row r="472" spans="1:5" ht="13.2" x14ac:dyDescent="0.25">
      <c r="A472" s="11"/>
      <c r="B472" s="9"/>
      <c r="C472" s="10"/>
      <c r="D472" s="8"/>
      <c r="E472" s="8"/>
    </row>
    <row r="473" spans="1:5" ht="13.2" x14ac:dyDescent="0.25">
      <c r="A473" s="11"/>
      <c r="B473" s="9"/>
      <c r="C473" s="10"/>
      <c r="D473" s="8"/>
      <c r="E473" s="8"/>
    </row>
    <row r="474" spans="1:5" ht="13.2" x14ac:dyDescent="0.25">
      <c r="A474" s="11"/>
      <c r="B474" s="9"/>
      <c r="C474" s="10"/>
      <c r="D474" s="8"/>
      <c r="E474" s="8"/>
    </row>
    <row r="475" spans="1:5" ht="13.2" x14ac:dyDescent="0.25">
      <c r="A475" s="11"/>
      <c r="B475" s="9"/>
      <c r="C475" s="10"/>
      <c r="D475" s="8"/>
      <c r="E475" s="8"/>
    </row>
    <row r="476" spans="1:5" ht="13.2" x14ac:dyDescent="0.25">
      <c r="A476" s="11"/>
      <c r="B476" s="9"/>
      <c r="C476" s="10"/>
      <c r="D476" s="8"/>
      <c r="E476" s="8"/>
    </row>
    <row r="477" spans="1:5" ht="13.2" x14ac:dyDescent="0.25">
      <c r="A477" s="11"/>
      <c r="B477" s="9"/>
      <c r="C477" s="10"/>
      <c r="D477" s="8"/>
      <c r="E477" s="8"/>
    </row>
    <row r="478" spans="1:5" ht="13.2" x14ac:dyDescent="0.25">
      <c r="A478" s="11"/>
      <c r="B478" s="9"/>
      <c r="C478" s="10"/>
      <c r="D478" s="8"/>
      <c r="E478" s="8"/>
    </row>
    <row r="479" spans="1:5" ht="13.2" x14ac:dyDescent="0.25">
      <c r="A479" s="11"/>
      <c r="B479" s="9"/>
      <c r="C479" s="10"/>
      <c r="D479" s="8"/>
      <c r="E479" s="8"/>
    </row>
    <row r="480" spans="1:5" ht="13.2" x14ac:dyDescent="0.25">
      <c r="A480" s="11"/>
      <c r="B480" s="9"/>
      <c r="C480" s="10"/>
      <c r="D480" s="8"/>
      <c r="E480" s="8"/>
    </row>
    <row r="481" spans="1:5" ht="13.2" x14ac:dyDescent="0.25">
      <c r="A481" s="11"/>
      <c r="B481" s="9"/>
      <c r="C481" s="10"/>
      <c r="D481" s="8"/>
      <c r="E481" s="8"/>
    </row>
    <row r="482" spans="1:5" ht="13.2" x14ac:dyDescent="0.25">
      <c r="A482" s="11"/>
      <c r="B482" s="9"/>
      <c r="C482" s="10"/>
      <c r="D482" s="8"/>
      <c r="E482" s="8"/>
    </row>
    <row r="483" spans="1:5" ht="13.2" x14ac:dyDescent="0.25">
      <c r="A483" s="11"/>
      <c r="B483" s="9"/>
      <c r="C483" s="10"/>
      <c r="D483" s="8"/>
      <c r="E483" s="8"/>
    </row>
    <row r="484" spans="1:5" ht="13.2" x14ac:dyDescent="0.25">
      <c r="A484" s="11"/>
      <c r="B484" s="9"/>
      <c r="C484" s="10"/>
      <c r="D484" s="8"/>
      <c r="E484" s="8"/>
    </row>
    <row r="485" spans="1:5" ht="13.2" x14ac:dyDescent="0.25">
      <c r="A485" s="11"/>
      <c r="B485" s="9"/>
      <c r="C485" s="10"/>
      <c r="D485" s="8"/>
      <c r="E485" s="8"/>
    </row>
    <row r="486" spans="1:5" ht="13.2" x14ac:dyDescent="0.25">
      <c r="A486" s="11"/>
      <c r="B486" s="9"/>
      <c r="C486" s="10"/>
      <c r="D486" s="8"/>
      <c r="E486" s="8"/>
    </row>
    <row r="487" spans="1:5" ht="13.2" x14ac:dyDescent="0.25">
      <c r="A487" s="11"/>
      <c r="B487" s="9"/>
      <c r="C487" s="10"/>
      <c r="D487" s="8"/>
      <c r="E487" s="8"/>
    </row>
    <row r="488" spans="1:5" ht="13.2" x14ac:dyDescent="0.25">
      <c r="A488" s="11"/>
      <c r="B488" s="9"/>
      <c r="C488" s="10"/>
      <c r="D488" s="8"/>
      <c r="E488" s="8"/>
    </row>
    <row r="489" spans="1:5" ht="13.2" x14ac:dyDescent="0.25">
      <c r="A489" s="11"/>
      <c r="B489" s="9"/>
      <c r="C489" s="10"/>
      <c r="D489" s="8"/>
      <c r="E489" s="8"/>
    </row>
    <row r="490" spans="1:5" ht="13.2" x14ac:dyDescent="0.25">
      <c r="A490" s="11"/>
      <c r="B490" s="9"/>
      <c r="C490" s="10"/>
      <c r="D490" s="8"/>
      <c r="E490" s="8"/>
    </row>
    <row r="491" spans="1:5" ht="13.2" x14ac:dyDescent="0.25">
      <c r="A491" s="11"/>
      <c r="B491" s="9"/>
      <c r="C491" s="10"/>
      <c r="D491" s="8"/>
      <c r="E491" s="8"/>
    </row>
    <row r="492" spans="1:5" ht="13.2" x14ac:dyDescent="0.25">
      <c r="A492" s="11"/>
      <c r="B492" s="9"/>
      <c r="C492" s="10"/>
      <c r="D492" s="8"/>
      <c r="E492" s="8"/>
    </row>
    <row r="493" spans="1:5" ht="13.2" x14ac:dyDescent="0.25">
      <c r="A493" s="11"/>
      <c r="B493" s="9"/>
      <c r="C493" s="10"/>
      <c r="D493" s="8"/>
      <c r="E493" s="8"/>
    </row>
    <row r="494" spans="1:5" ht="13.2" x14ac:dyDescent="0.25">
      <c r="A494" s="11"/>
      <c r="B494" s="9"/>
      <c r="C494" s="10"/>
      <c r="D494" s="8"/>
      <c r="E494" s="8"/>
    </row>
    <row r="495" spans="1:5" ht="13.2" x14ac:dyDescent="0.25">
      <c r="A495" s="11"/>
      <c r="B495" s="9"/>
      <c r="C495" s="10"/>
      <c r="D495" s="8"/>
      <c r="E495" s="8"/>
    </row>
    <row r="496" spans="1:5" ht="13.2" x14ac:dyDescent="0.25">
      <c r="A496" s="11"/>
      <c r="B496" s="9"/>
      <c r="C496" s="10"/>
      <c r="D496" s="8"/>
      <c r="E496" s="8"/>
    </row>
    <row r="497" spans="1:5" ht="13.2" x14ac:dyDescent="0.25">
      <c r="A497" s="11"/>
      <c r="B497" s="9"/>
      <c r="C497" s="10"/>
      <c r="D497" s="8"/>
      <c r="E497" s="8"/>
    </row>
    <row r="498" spans="1:5" ht="13.2" x14ac:dyDescent="0.25">
      <c r="A498" s="11"/>
      <c r="B498" s="9"/>
      <c r="C498" s="10"/>
      <c r="D498" s="8"/>
      <c r="E498" s="8"/>
    </row>
    <row r="499" spans="1:5" ht="13.2" x14ac:dyDescent="0.25">
      <c r="A499" s="11"/>
      <c r="B499" s="9"/>
      <c r="C499" s="10"/>
      <c r="D499" s="8"/>
      <c r="E499" s="8"/>
    </row>
    <row r="500" spans="1:5" ht="13.2" x14ac:dyDescent="0.25">
      <c r="A500" s="11"/>
      <c r="B500" s="9"/>
      <c r="C500" s="10"/>
      <c r="D500" s="8"/>
      <c r="E500" s="8"/>
    </row>
    <row r="501" spans="1:5" ht="13.2" x14ac:dyDescent="0.25">
      <c r="A501" s="11"/>
      <c r="B501" s="9"/>
      <c r="C501" s="10"/>
      <c r="D501" s="8"/>
      <c r="E501" s="8"/>
    </row>
    <row r="502" spans="1:5" ht="13.2" x14ac:dyDescent="0.25">
      <c r="A502" s="11"/>
      <c r="B502" s="9"/>
      <c r="C502" s="10"/>
      <c r="D502" s="8"/>
      <c r="E502" s="8"/>
    </row>
    <row r="503" spans="1:5" ht="13.2" x14ac:dyDescent="0.25">
      <c r="A503" s="11"/>
      <c r="B503" s="9"/>
      <c r="C503" s="10"/>
      <c r="D503" s="8"/>
      <c r="E503" s="8"/>
    </row>
    <row r="504" spans="1:5" ht="13.2" x14ac:dyDescent="0.25">
      <c r="A504" s="11"/>
      <c r="B504" s="9"/>
      <c r="C504" s="10"/>
      <c r="D504" s="8"/>
      <c r="E504" s="8"/>
    </row>
    <row r="505" spans="1:5" ht="13.2" x14ac:dyDescent="0.25">
      <c r="A505" s="11"/>
      <c r="B505" s="9"/>
      <c r="C505" s="10"/>
      <c r="D505" s="8"/>
      <c r="E505" s="8"/>
    </row>
    <row r="506" spans="1:5" ht="13.2" x14ac:dyDescent="0.25">
      <c r="A506" s="11"/>
      <c r="B506" s="9"/>
      <c r="C506" s="10"/>
      <c r="D506" s="8"/>
      <c r="E506" s="8"/>
    </row>
    <row r="507" spans="1:5" ht="13.2" x14ac:dyDescent="0.25">
      <c r="A507" s="11"/>
      <c r="B507" s="9"/>
      <c r="C507" s="10"/>
      <c r="D507" s="8"/>
      <c r="E507" s="8"/>
    </row>
    <row r="508" spans="1:5" ht="13.2" x14ac:dyDescent="0.25">
      <c r="A508" s="11"/>
      <c r="B508" s="9"/>
      <c r="C508" s="10"/>
      <c r="D508" s="8"/>
      <c r="E508" s="8"/>
    </row>
    <row r="509" spans="1:5" ht="13.2" x14ac:dyDescent="0.25">
      <c r="A509" s="11"/>
      <c r="B509" s="9"/>
      <c r="C509" s="10"/>
      <c r="D509" s="8"/>
      <c r="E509" s="8"/>
    </row>
    <row r="510" spans="1:5" ht="13.2" x14ac:dyDescent="0.25">
      <c r="A510" s="11"/>
      <c r="B510" s="9"/>
      <c r="C510" s="10"/>
      <c r="D510" s="8"/>
      <c r="E510" s="8"/>
    </row>
    <row r="511" spans="1:5" ht="13.2" x14ac:dyDescent="0.25">
      <c r="A511" s="11"/>
      <c r="B511" s="9"/>
      <c r="C511" s="10"/>
      <c r="D511" s="8"/>
      <c r="E511" s="8"/>
    </row>
    <row r="512" spans="1:5" ht="13.2" x14ac:dyDescent="0.25">
      <c r="A512" s="11"/>
      <c r="B512" s="9"/>
      <c r="C512" s="10"/>
      <c r="D512" s="8"/>
      <c r="E512" s="8"/>
    </row>
    <row r="513" spans="1:5" ht="13.2" x14ac:dyDescent="0.25">
      <c r="A513" s="11"/>
      <c r="B513" s="9"/>
      <c r="C513" s="10"/>
      <c r="D513" s="8"/>
      <c r="E513" s="8"/>
    </row>
    <row r="514" spans="1:5" ht="13.2" x14ac:dyDescent="0.25">
      <c r="A514" s="11"/>
      <c r="B514" s="9"/>
      <c r="C514" s="10"/>
      <c r="D514" s="8"/>
      <c r="E514" s="8"/>
    </row>
    <row r="515" spans="1:5" ht="13.2" x14ac:dyDescent="0.25">
      <c r="A515" s="11"/>
      <c r="B515" s="9"/>
      <c r="C515" s="10"/>
      <c r="D515" s="8"/>
      <c r="E515" s="8"/>
    </row>
    <row r="516" spans="1:5" ht="13.2" x14ac:dyDescent="0.25">
      <c r="A516" s="11"/>
      <c r="B516" s="9"/>
      <c r="C516" s="10"/>
      <c r="D516" s="8"/>
      <c r="E516" s="8"/>
    </row>
    <row r="517" spans="1:5" ht="13.2" x14ac:dyDescent="0.25">
      <c r="A517" s="11"/>
      <c r="B517" s="9"/>
      <c r="C517" s="10"/>
      <c r="D517" s="8"/>
      <c r="E517" s="8"/>
    </row>
    <row r="518" spans="1:5" ht="13.2" x14ac:dyDescent="0.25">
      <c r="A518" s="11"/>
      <c r="B518" s="9"/>
      <c r="C518" s="10"/>
      <c r="D518" s="8"/>
      <c r="E518" s="8"/>
    </row>
    <row r="519" spans="1:5" ht="13.2" x14ac:dyDescent="0.25">
      <c r="A519" s="11"/>
      <c r="B519" s="9"/>
      <c r="C519" s="10"/>
      <c r="D519" s="8"/>
      <c r="E519" s="8"/>
    </row>
    <row r="520" spans="1:5" ht="13.2" x14ac:dyDescent="0.25">
      <c r="A520" s="11"/>
      <c r="B520" s="9"/>
      <c r="C520" s="10"/>
      <c r="D520" s="8"/>
      <c r="E520" s="8"/>
    </row>
    <row r="521" spans="1:5" ht="13.2" x14ac:dyDescent="0.25">
      <c r="A521" s="11"/>
      <c r="B521" s="9"/>
      <c r="C521" s="10"/>
      <c r="D521" s="8"/>
      <c r="E521" s="8"/>
    </row>
    <row r="522" spans="1:5" ht="13.2" x14ac:dyDescent="0.25">
      <c r="A522" s="11"/>
      <c r="B522" s="9"/>
      <c r="C522" s="10"/>
      <c r="D522" s="8"/>
      <c r="E522" s="8"/>
    </row>
    <row r="523" spans="1:5" ht="13.2" x14ac:dyDescent="0.25">
      <c r="A523" s="11"/>
      <c r="B523" s="9"/>
      <c r="C523" s="10"/>
      <c r="D523" s="8"/>
      <c r="E523" s="8"/>
    </row>
    <row r="524" spans="1:5" ht="13.2" x14ac:dyDescent="0.25">
      <c r="A524" s="11"/>
      <c r="B524" s="9"/>
      <c r="C524" s="10"/>
      <c r="D524" s="8"/>
      <c r="E524" s="8"/>
    </row>
    <row r="525" spans="1:5" ht="13.2" x14ac:dyDescent="0.25">
      <c r="A525" s="11"/>
      <c r="B525" s="9"/>
      <c r="C525" s="10"/>
      <c r="D525" s="8"/>
      <c r="E525" s="8"/>
    </row>
    <row r="526" spans="1:5" ht="13.2" x14ac:dyDescent="0.25">
      <c r="A526" s="11"/>
      <c r="B526" s="9"/>
      <c r="C526" s="10"/>
      <c r="D526" s="8"/>
      <c r="E526" s="8"/>
    </row>
    <row r="527" spans="1:5" ht="13.2" x14ac:dyDescent="0.25">
      <c r="A527" s="11"/>
      <c r="B527" s="9"/>
      <c r="C527" s="10"/>
      <c r="D527" s="8"/>
      <c r="E527" s="8"/>
    </row>
    <row r="528" spans="1:5" ht="13.2" x14ac:dyDescent="0.25">
      <c r="A528" s="11"/>
      <c r="B528" s="9"/>
      <c r="C528" s="10"/>
      <c r="D528" s="8"/>
      <c r="E528" s="8"/>
    </row>
    <row r="529" spans="1:5" ht="13.2" x14ac:dyDescent="0.25">
      <c r="A529" s="11"/>
      <c r="B529" s="9"/>
      <c r="C529" s="10"/>
      <c r="D529" s="8"/>
      <c r="E529" s="8"/>
    </row>
    <row r="530" spans="1:5" ht="13.2" x14ac:dyDescent="0.25">
      <c r="A530" s="11"/>
      <c r="B530" s="9"/>
      <c r="C530" s="10"/>
      <c r="D530" s="8"/>
      <c r="E530" s="8"/>
    </row>
    <row r="531" spans="1:5" ht="13.2" x14ac:dyDescent="0.25">
      <c r="A531" s="11"/>
      <c r="B531" s="9"/>
      <c r="C531" s="10"/>
      <c r="D531" s="8"/>
      <c r="E531" s="8"/>
    </row>
    <row r="532" spans="1:5" ht="13.2" x14ac:dyDescent="0.25">
      <c r="A532" s="11"/>
      <c r="B532" s="9"/>
      <c r="C532" s="10"/>
      <c r="D532" s="8"/>
      <c r="E532" s="8"/>
    </row>
    <row r="533" spans="1:5" ht="13.2" x14ac:dyDescent="0.25">
      <c r="A533" s="11"/>
      <c r="B533" s="9"/>
      <c r="C533" s="10"/>
      <c r="D533" s="8"/>
      <c r="E533" s="8"/>
    </row>
    <row r="534" spans="1:5" ht="13.2" x14ac:dyDescent="0.25">
      <c r="A534" s="11"/>
      <c r="B534" s="9"/>
      <c r="C534" s="10"/>
      <c r="D534" s="8"/>
      <c r="E534" s="8"/>
    </row>
    <row r="535" spans="1:5" ht="13.2" x14ac:dyDescent="0.25">
      <c r="A535" s="11"/>
      <c r="B535" s="9"/>
      <c r="C535" s="10"/>
      <c r="D535" s="8"/>
      <c r="E535" s="8"/>
    </row>
    <row r="536" spans="1:5" ht="13.2" x14ac:dyDescent="0.25">
      <c r="A536" s="11"/>
      <c r="B536" s="9"/>
      <c r="C536" s="10"/>
      <c r="D536" s="8"/>
      <c r="E536" s="8"/>
    </row>
    <row r="537" spans="1:5" ht="13.2" x14ac:dyDescent="0.25">
      <c r="A537" s="11"/>
      <c r="B537" s="9"/>
      <c r="C537" s="10"/>
      <c r="D537" s="8"/>
      <c r="E537" s="8"/>
    </row>
    <row r="538" spans="1:5" ht="13.2" x14ac:dyDescent="0.25">
      <c r="A538" s="11"/>
      <c r="B538" s="9"/>
      <c r="C538" s="10"/>
      <c r="D538" s="8"/>
      <c r="E538" s="8"/>
    </row>
    <row r="539" spans="1:5" ht="13.2" x14ac:dyDescent="0.25">
      <c r="A539" s="11"/>
      <c r="B539" s="9"/>
      <c r="C539" s="10"/>
      <c r="D539" s="8"/>
      <c r="E539" s="8"/>
    </row>
    <row r="540" spans="1:5" ht="13.2" x14ac:dyDescent="0.25">
      <c r="A540" s="11"/>
      <c r="B540" s="9"/>
      <c r="C540" s="10"/>
      <c r="D540" s="8"/>
      <c r="E540" s="8"/>
    </row>
    <row r="541" spans="1:5" ht="13.2" x14ac:dyDescent="0.25">
      <c r="A541" s="11"/>
      <c r="B541" s="9"/>
      <c r="C541" s="10"/>
      <c r="D541" s="8"/>
      <c r="E541" s="8"/>
    </row>
    <row r="542" spans="1:5" ht="13.2" x14ac:dyDescent="0.25">
      <c r="A542" s="11"/>
      <c r="B542" s="9"/>
      <c r="C542" s="10"/>
      <c r="D542" s="8"/>
      <c r="E542" s="8"/>
    </row>
    <row r="543" spans="1:5" ht="13.2" x14ac:dyDescent="0.25">
      <c r="A543" s="11"/>
      <c r="B543" s="9"/>
      <c r="C543" s="10"/>
      <c r="D543" s="8"/>
      <c r="E543" s="8"/>
    </row>
    <row r="544" spans="1:5" ht="13.2" x14ac:dyDescent="0.25">
      <c r="A544" s="11"/>
      <c r="B544" s="9"/>
      <c r="C544" s="10"/>
      <c r="D544" s="8"/>
      <c r="E544" s="8"/>
    </row>
    <row r="545" spans="1:5" ht="13.2" x14ac:dyDescent="0.25">
      <c r="A545" s="11"/>
      <c r="B545" s="9"/>
      <c r="C545" s="10"/>
      <c r="D545" s="8"/>
      <c r="E545" s="8"/>
    </row>
    <row r="546" spans="1:5" ht="13.2" x14ac:dyDescent="0.25">
      <c r="A546" s="11"/>
      <c r="B546" s="9"/>
      <c r="C546" s="10"/>
      <c r="D546" s="8"/>
      <c r="E546" s="8"/>
    </row>
    <row r="547" spans="1:5" ht="13.2" x14ac:dyDescent="0.25">
      <c r="A547" s="11"/>
      <c r="B547" s="9"/>
      <c r="C547" s="10"/>
      <c r="D547" s="8"/>
      <c r="E547" s="8"/>
    </row>
    <row r="548" spans="1:5" ht="13.2" x14ac:dyDescent="0.25">
      <c r="A548" s="11"/>
      <c r="B548" s="9"/>
      <c r="C548" s="10"/>
      <c r="D548" s="8"/>
      <c r="E548" s="8"/>
    </row>
    <row r="549" spans="1:5" ht="13.2" x14ac:dyDescent="0.25">
      <c r="A549" s="11"/>
      <c r="B549" s="9"/>
      <c r="C549" s="10"/>
      <c r="D549" s="8"/>
      <c r="E549" s="8"/>
    </row>
    <row r="550" spans="1:5" ht="13.2" x14ac:dyDescent="0.25">
      <c r="A550" s="11"/>
      <c r="B550" s="9"/>
      <c r="C550" s="10"/>
      <c r="D550" s="8"/>
      <c r="E550" s="8"/>
    </row>
    <row r="551" spans="1:5" ht="13.2" x14ac:dyDescent="0.25">
      <c r="A551" s="11"/>
      <c r="B551" s="9"/>
      <c r="C551" s="10"/>
      <c r="D551" s="8"/>
      <c r="E551" s="8"/>
    </row>
    <row r="552" spans="1:5" ht="13.2" x14ac:dyDescent="0.25">
      <c r="A552" s="11"/>
      <c r="B552" s="9"/>
      <c r="C552" s="10"/>
      <c r="D552" s="8"/>
      <c r="E552" s="8"/>
    </row>
    <row r="553" spans="1:5" ht="13.2" x14ac:dyDescent="0.25">
      <c r="A553" s="11"/>
      <c r="B553" s="9"/>
      <c r="C553" s="10"/>
      <c r="D553" s="8"/>
      <c r="E553" s="8"/>
    </row>
    <row r="554" spans="1:5" ht="13.2" x14ac:dyDescent="0.25">
      <c r="A554" s="11"/>
      <c r="B554" s="9"/>
      <c r="C554" s="10"/>
      <c r="D554" s="8"/>
      <c r="E554" s="8"/>
    </row>
    <row r="555" spans="1:5" ht="13.2" x14ac:dyDescent="0.25">
      <c r="A555" s="11"/>
      <c r="B555" s="9"/>
      <c r="C555" s="10"/>
      <c r="D555" s="8"/>
      <c r="E555" s="8"/>
    </row>
    <row r="556" spans="1:5" ht="13.2" x14ac:dyDescent="0.25">
      <c r="A556" s="11"/>
      <c r="B556" s="9"/>
      <c r="C556" s="10"/>
      <c r="D556" s="8"/>
      <c r="E556" s="8"/>
    </row>
    <row r="557" spans="1:5" ht="13.2" x14ac:dyDescent="0.25">
      <c r="A557" s="11"/>
      <c r="B557" s="9"/>
      <c r="C557" s="10"/>
      <c r="D557" s="8"/>
      <c r="E557" s="8"/>
    </row>
    <row r="558" spans="1:5" ht="13.2" x14ac:dyDescent="0.25">
      <c r="A558" s="11"/>
      <c r="B558" s="9"/>
      <c r="C558" s="10"/>
      <c r="D558" s="8"/>
      <c r="E558" s="8"/>
    </row>
    <row r="559" spans="1:5" ht="13.2" x14ac:dyDescent="0.25">
      <c r="A559" s="11"/>
      <c r="B559" s="9"/>
      <c r="C559" s="10"/>
      <c r="D559" s="8"/>
      <c r="E559" s="8"/>
    </row>
    <row r="560" spans="1:5" ht="13.2" x14ac:dyDescent="0.25">
      <c r="A560" s="11"/>
      <c r="B560" s="9"/>
      <c r="C560" s="10"/>
      <c r="D560" s="8"/>
      <c r="E560" s="8"/>
    </row>
    <row r="561" spans="1:5" ht="13.2" x14ac:dyDescent="0.25">
      <c r="A561" s="11"/>
      <c r="B561" s="9"/>
      <c r="C561" s="10"/>
      <c r="D561" s="8"/>
      <c r="E561" s="8"/>
    </row>
    <row r="562" spans="1:5" ht="13.2" x14ac:dyDescent="0.25">
      <c r="A562" s="11"/>
      <c r="B562" s="9"/>
      <c r="C562" s="10"/>
      <c r="D562" s="8"/>
      <c r="E562" s="8"/>
    </row>
    <row r="563" spans="1:5" ht="13.2" x14ac:dyDescent="0.25">
      <c r="A563" s="11"/>
      <c r="B563" s="9"/>
      <c r="C563" s="10"/>
      <c r="D563" s="8"/>
      <c r="E563" s="8"/>
    </row>
    <row r="564" spans="1:5" ht="13.2" x14ac:dyDescent="0.25">
      <c r="A564" s="11"/>
      <c r="B564" s="9"/>
      <c r="C564" s="10"/>
      <c r="D564" s="8"/>
      <c r="E564" s="8"/>
    </row>
    <row r="565" spans="1:5" ht="13.2" x14ac:dyDescent="0.25">
      <c r="A565" s="11"/>
      <c r="B565" s="9"/>
      <c r="C565" s="10"/>
      <c r="D565" s="8"/>
      <c r="E565" s="8"/>
    </row>
    <row r="566" spans="1:5" ht="13.2" x14ac:dyDescent="0.25">
      <c r="A566" s="11"/>
      <c r="B566" s="9"/>
      <c r="C566" s="10"/>
      <c r="D566" s="8"/>
      <c r="E566" s="8"/>
    </row>
    <row r="567" spans="1:5" ht="13.2" x14ac:dyDescent="0.25">
      <c r="A567" s="11"/>
      <c r="B567" s="9"/>
      <c r="C567" s="10"/>
      <c r="D567" s="8"/>
      <c r="E567" s="8"/>
    </row>
    <row r="568" spans="1:5" ht="13.2" x14ac:dyDescent="0.25">
      <c r="A568" s="11"/>
      <c r="B568" s="9"/>
      <c r="C568" s="10"/>
      <c r="D568" s="8"/>
      <c r="E568" s="8"/>
    </row>
    <row r="569" spans="1:5" ht="13.2" x14ac:dyDescent="0.25">
      <c r="A569" s="11"/>
      <c r="B569" s="9"/>
      <c r="C569" s="10"/>
      <c r="D569" s="8"/>
      <c r="E569" s="8"/>
    </row>
    <row r="570" spans="1:5" ht="13.2" x14ac:dyDescent="0.25">
      <c r="A570" s="11"/>
      <c r="B570" s="9"/>
      <c r="C570" s="10"/>
      <c r="D570" s="8"/>
      <c r="E570" s="8"/>
    </row>
    <row r="571" spans="1:5" ht="13.2" x14ac:dyDescent="0.25">
      <c r="A571" s="11"/>
      <c r="B571" s="9"/>
      <c r="C571" s="10"/>
      <c r="D571" s="8"/>
      <c r="E571" s="8"/>
    </row>
    <row r="572" spans="1:5" ht="13.2" x14ac:dyDescent="0.25">
      <c r="A572" s="11"/>
      <c r="B572" s="9"/>
      <c r="C572" s="10"/>
      <c r="D572" s="8"/>
      <c r="E572" s="8"/>
    </row>
    <row r="573" spans="1:5" ht="13.2" x14ac:dyDescent="0.25">
      <c r="A573" s="11"/>
      <c r="B573" s="9"/>
      <c r="C573" s="10"/>
      <c r="D573" s="8"/>
      <c r="E573" s="8"/>
    </row>
    <row r="574" spans="1:5" ht="13.2" x14ac:dyDescent="0.25">
      <c r="A574" s="11"/>
      <c r="B574" s="9"/>
      <c r="C574" s="10"/>
      <c r="D574" s="8"/>
      <c r="E574" s="8"/>
    </row>
    <row r="575" spans="1:5" ht="13.2" x14ac:dyDescent="0.25">
      <c r="A575" s="11"/>
      <c r="B575" s="9"/>
      <c r="C575" s="10"/>
      <c r="D575" s="8"/>
      <c r="E575" s="8"/>
    </row>
    <row r="576" spans="1:5" ht="13.2" x14ac:dyDescent="0.25">
      <c r="A576" s="11"/>
      <c r="B576" s="9"/>
      <c r="C576" s="10"/>
      <c r="D576" s="8"/>
      <c r="E576" s="8"/>
    </row>
    <row r="577" spans="1:5" ht="13.2" x14ac:dyDescent="0.25">
      <c r="A577" s="11"/>
      <c r="B577" s="9"/>
      <c r="C577" s="10"/>
      <c r="D577" s="8"/>
      <c r="E577" s="8"/>
    </row>
    <row r="578" spans="1:5" ht="13.2" x14ac:dyDescent="0.25">
      <c r="A578" s="11"/>
      <c r="B578" s="9"/>
      <c r="C578" s="10"/>
      <c r="D578" s="8"/>
      <c r="E578" s="8"/>
    </row>
    <row r="579" spans="1:5" ht="13.2" x14ac:dyDescent="0.25">
      <c r="A579" s="11"/>
      <c r="B579" s="9"/>
      <c r="C579" s="10"/>
      <c r="D579" s="8"/>
      <c r="E579" s="8"/>
    </row>
    <row r="580" spans="1:5" ht="13.2" x14ac:dyDescent="0.25">
      <c r="A580" s="11"/>
      <c r="B580" s="9"/>
      <c r="C580" s="10"/>
      <c r="D580" s="8"/>
      <c r="E580" s="8"/>
    </row>
    <row r="581" spans="1:5" ht="13.2" x14ac:dyDescent="0.25">
      <c r="A581" s="11"/>
      <c r="B581" s="9"/>
      <c r="C581" s="10"/>
      <c r="D581" s="8"/>
      <c r="E581" s="8"/>
    </row>
    <row r="582" spans="1:5" ht="13.2" x14ac:dyDescent="0.25">
      <c r="A582" s="11"/>
      <c r="B582" s="9"/>
      <c r="C582" s="10"/>
      <c r="D582" s="8"/>
      <c r="E582" s="8"/>
    </row>
    <row r="583" spans="1:5" ht="13.2" x14ac:dyDescent="0.25">
      <c r="A583" s="11"/>
      <c r="B583" s="9"/>
      <c r="C583" s="10"/>
      <c r="D583" s="8"/>
      <c r="E583" s="8"/>
    </row>
    <row r="584" spans="1:5" ht="13.2" x14ac:dyDescent="0.25">
      <c r="A584" s="11"/>
      <c r="B584" s="9"/>
      <c r="C584" s="10"/>
      <c r="D584" s="8"/>
      <c r="E584" s="8"/>
    </row>
    <row r="585" spans="1:5" ht="13.2" x14ac:dyDescent="0.25">
      <c r="A585" s="11"/>
      <c r="B585" s="9"/>
      <c r="C585" s="10"/>
      <c r="D585" s="8"/>
      <c r="E585" s="8"/>
    </row>
    <row r="586" spans="1:5" ht="13.2" x14ac:dyDescent="0.25">
      <c r="A586" s="11"/>
      <c r="B586" s="9"/>
      <c r="C586" s="10"/>
      <c r="D586" s="8"/>
      <c r="E586" s="8"/>
    </row>
    <row r="587" spans="1:5" ht="13.2" x14ac:dyDescent="0.25">
      <c r="A587" s="11"/>
      <c r="B587" s="9"/>
      <c r="C587" s="10"/>
      <c r="D587" s="8"/>
      <c r="E587" s="8"/>
    </row>
    <row r="588" spans="1:5" ht="13.2" x14ac:dyDescent="0.25">
      <c r="A588" s="11"/>
      <c r="B588" s="9"/>
      <c r="C588" s="10"/>
      <c r="D588" s="8"/>
      <c r="E588" s="8"/>
    </row>
    <row r="589" spans="1:5" ht="13.2" x14ac:dyDescent="0.25">
      <c r="A589" s="11"/>
      <c r="B589" s="9"/>
      <c r="C589" s="10"/>
      <c r="D589" s="8"/>
      <c r="E589" s="8"/>
    </row>
    <row r="590" spans="1:5" ht="13.2" x14ac:dyDescent="0.25">
      <c r="A590" s="11"/>
      <c r="B590" s="9"/>
      <c r="C590" s="10"/>
      <c r="D590" s="8"/>
      <c r="E590" s="8"/>
    </row>
    <row r="591" spans="1:5" ht="13.2" x14ac:dyDescent="0.25">
      <c r="A591" s="11"/>
      <c r="B591" s="9"/>
      <c r="C591" s="10"/>
      <c r="D591" s="8"/>
      <c r="E591" s="8"/>
    </row>
    <row r="592" spans="1:5" ht="13.2" x14ac:dyDescent="0.25">
      <c r="A592" s="11"/>
      <c r="B592" s="9"/>
      <c r="C592" s="10"/>
      <c r="D592" s="8"/>
      <c r="E592" s="8"/>
    </row>
    <row r="593" spans="1:5" ht="13.2" x14ac:dyDescent="0.25">
      <c r="A593" s="11"/>
      <c r="B593" s="9"/>
      <c r="C593" s="10"/>
      <c r="D593" s="8"/>
      <c r="E593" s="8"/>
    </row>
    <row r="594" spans="1:5" ht="13.2" x14ac:dyDescent="0.25">
      <c r="A594" s="11"/>
      <c r="B594" s="9"/>
      <c r="C594" s="10"/>
      <c r="D594" s="8"/>
      <c r="E594" s="8"/>
    </row>
    <row r="595" spans="1:5" ht="13.2" x14ac:dyDescent="0.25">
      <c r="A595" s="11"/>
      <c r="B595" s="9"/>
      <c r="C595" s="10"/>
      <c r="D595" s="8"/>
      <c r="E595" s="8"/>
    </row>
    <row r="596" spans="1:5" ht="13.2" x14ac:dyDescent="0.25">
      <c r="A596" s="11"/>
      <c r="B596" s="9"/>
      <c r="C596" s="10"/>
      <c r="D596" s="8"/>
      <c r="E596" s="8"/>
    </row>
    <row r="597" spans="1:5" ht="13.2" x14ac:dyDescent="0.25">
      <c r="A597" s="11"/>
      <c r="B597" s="9"/>
      <c r="C597" s="10"/>
      <c r="D597" s="8"/>
      <c r="E597" s="8"/>
    </row>
    <row r="598" spans="1:5" ht="13.2" x14ac:dyDescent="0.25">
      <c r="A598" s="11"/>
      <c r="B598" s="9"/>
      <c r="C598" s="10"/>
      <c r="D598" s="8"/>
      <c r="E598" s="8"/>
    </row>
    <row r="599" spans="1:5" ht="13.2" x14ac:dyDescent="0.25">
      <c r="A599" s="11"/>
      <c r="B599" s="9"/>
      <c r="C599" s="10"/>
      <c r="D599" s="8"/>
      <c r="E599" s="8"/>
    </row>
    <row r="600" spans="1:5" ht="13.2" x14ac:dyDescent="0.25">
      <c r="A600" s="11"/>
      <c r="B600" s="9"/>
      <c r="C600" s="10"/>
      <c r="D600" s="8"/>
      <c r="E600" s="8"/>
    </row>
    <row r="601" spans="1:5" ht="13.2" x14ac:dyDescent="0.25">
      <c r="A601" s="11"/>
      <c r="B601" s="9"/>
      <c r="C601" s="10"/>
      <c r="D601" s="8"/>
      <c r="E601" s="8"/>
    </row>
    <row r="602" spans="1:5" ht="13.2" x14ac:dyDescent="0.25">
      <c r="A602" s="11"/>
      <c r="B602" s="9"/>
      <c r="C602" s="10"/>
      <c r="D602" s="8"/>
      <c r="E602" s="8"/>
    </row>
    <row r="603" spans="1:5" ht="13.2" x14ac:dyDescent="0.25">
      <c r="A603" s="11"/>
      <c r="B603" s="9"/>
      <c r="C603" s="10"/>
      <c r="D603" s="8"/>
      <c r="E603" s="8"/>
    </row>
    <row r="604" spans="1:5" ht="13.2" x14ac:dyDescent="0.25">
      <c r="A604" s="11"/>
      <c r="B604" s="9"/>
      <c r="C604" s="10"/>
      <c r="D604" s="8"/>
      <c r="E604" s="8"/>
    </row>
    <row r="605" spans="1:5" ht="13.2" x14ac:dyDescent="0.25">
      <c r="A605" s="11"/>
      <c r="B605" s="9"/>
      <c r="C605" s="10"/>
      <c r="D605" s="8"/>
      <c r="E605" s="8"/>
    </row>
    <row r="606" spans="1:5" ht="13.2" x14ac:dyDescent="0.25">
      <c r="A606" s="11"/>
      <c r="B606" s="9"/>
      <c r="C606" s="10"/>
      <c r="D606" s="8"/>
      <c r="E606" s="8"/>
    </row>
    <row r="607" spans="1:5" ht="13.2" x14ac:dyDescent="0.25">
      <c r="A607" s="11"/>
      <c r="B607" s="9"/>
      <c r="C607" s="10"/>
      <c r="D607" s="8"/>
      <c r="E607" s="8"/>
    </row>
    <row r="608" spans="1:5" ht="13.2" x14ac:dyDescent="0.25">
      <c r="A608" s="11"/>
      <c r="B608" s="9"/>
      <c r="C608" s="10"/>
      <c r="D608" s="8"/>
      <c r="E608" s="8"/>
    </row>
    <row r="609" spans="1:5" ht="13.2" x14ac:dyDescent="0.25">
      <c r="A609" s="11"/>
      <c r="B609" s="9"/>
      <c r="C609" s="10"/>
      <c r="D609" s="8"/>
      <c r="E609" s="8"/>
    </row>
    <row r="610" spans="1:5" ht="13.2" x14ac:dyDescent="0.25">
      <c r="A610" s="11"/>
      <c r="B610" s="9"/>
      <c r="C610" s="10"/>
      <c r="D610" s="8"/>
      <c r="E610" s="8"/>
    </row>
    <row r="611" spans="1:5" ht="13.2" x14ac:dyDescent="0.25">
      <c r="A611" s="11"/>
      <c r="B611" s="9"/>
      <c r="C611" s="10"/>
      <c r="D611" s="8"/>
      <c r="E611" s="8"/>
    </row>
    <row r="612" spans="1:5" ht="13.2" x14ac:dyDescent="0.25">
      <c r="A612" s="11"/>
      <c r="B612" s="9"/>
      <c r="C612" s="10"/>
      <c r="D612" s="8"/>
      <c r="E612" s="8"/>
    </row>
    <row r="613" spans="1:5" ht="13.2" x14ac:dyDescent="0.25">
      <c r="A613" s="11"/>
      <c r="B613" s="9"/>
      <c r="C613" s="10"/>
      <c r="D613" s="8"/>
      <c r="E613" s="8"/>
    </row>
    <row r="614" spans="1:5" ht="13.2" x14ac:dyDescent="0.25">
      <c r="A614" s="11"/>
      <c r="B614" s="9"/>
      <c r="C614" s="10"/>
      <c r="D614" s="8"/>
      <c r="E614" s="8"/>
    </row>
    <row r="615" spans="1:5" ht="13.2" x14ac:dyDescent="0.25">
      <c r="A615" s="11"/>
      <c r="B615" s="9"/>
      <c r="C615" s="10"/>
      <c r="D615" s="8"/>
      <c r="E615" s="8"/>
    </row>
    <row r="616" spans="1:5" ht="13.2" x14ac:dyDescent="0.25">
      <c r="A616" s="11"/>
      <c r="B616" s="9"/>
      <c r="C616" s="10"/>
      <c r="D616" s="8"/>
      <c r="E616" s="8"/>
    </row>
    <row r="617" spans="1:5" ht="13.2" x14ac:dyDescent="0.25">
      <c r="A617" s="11"/>
      <c r="B617" s="9"/>
      <c r="C617" s="10"/>
      <c r="D617" s="8"/>
      <c r="E617" s="8"/>
    </row>
    <row r="618" spans="1:5" ht="13.2" x14ac:dyDescent="0.25">
      <c r="A618" s="11"/>
      <c r="B618" s="9"/>
      <c r="C618" s="10"/>
      <c r="D618" s="8"/>
      <c r="E618" s="8"/>
    </row>
    <row r="619" spans="1:5" ht="13.2" x14ac:dyDescent="0.25">
      <c r="A619" s="11"/>
      <c r="B619" s="9"/>
      <c r="C619" s="10"/>
      <c r="D619" s="8"/>
      <c r="E619" s="8"/>
    </row>
    <row r="620" spans="1:5" ht="13.2" x14ac:dyDescent="0.25">
      <c r="A620" s="11"/>
      <c r="B620" s="9"/>
      <c r="C620" s="10"/>
      <c r="D620" s="8"/>
      <c r="E620" s="8"/>
    </row>
    <row r="621" spans="1:5" ht="13.2" x14ac:dyDescent="0.25">
      <c r="A621" s="11"/>
      <c r="B621" s="9"/>
      <c r="C621" s="10"/>
      <c r="D621" s="8"/>
      <c r="E621" s="8"/>
    </row>
    <row r="622" spans="1:5" ht="13.2" x14ac:dyDescent="0.25">
      <c r="A622" s="11"/>
      <c r="B622" s="9"/>
      <c r="C622" s="10"/>
      <c r="D622" s="8"/>
      <c r="E622" s="8"/>
    </row>
    <row r="623" spans="1:5" ht="13.2" x14ac:dyDescent="0.25">
      <c r="A623" s="11"/>
      <c r="B623" s="9"/>
      <c r="C623" s="10"/>
      <c r="D623" s="8"/>
      <c r="E623" s="8"/>
    </row>
    <row r="624" spans="1:5" ht="13.2" x14ac:dyDescent="0.25">
      <c r="A624" s="11"/>
      <c r="B624" s="9"/>
      <c r="C624" s="10"/>
      <c r="D624" s="8"/>
      <c r="E624" s="8"/>
    </row>
    <row r="625" spans="1:5" ht="13.2" x14ac:dyDescent="0.25">
      <c r="A625" s="11"/>
      <c r="B625" s="9"/>
      <c r="C625" s="10"/>
      <c r="D625" s="8"/>
      <c r="E625" s="8"/>
    </row>
    <row r="626" spans="1:5" ht="13.2" x14ac:dyDescent="0.25">
      <c r="A626" s="11"/>
      <c r="B626" s="9"/>
      <c r="C626" s="10"/>
      <c r="D626" s="8"/>
      <c r="E626" s="8"/>
    </row>
    <row r="627" spans="1:5" ht="13.2" x14ac:dyDescent="0.25">
      <c r="A627" s="11"/>
      <c r="B627" s="9"/>
      <c r="C627" s="10"/>
      <c r="D627" s="8"/>
      <c r="E627" s="8"/>
    </row>
    <row r="628" spans="1:5" ht="13.2" x14ac:dyDescent="0.25">
      <c r="A628" s="11"/>
      <c r="B628" s="9"/>
      <c r="C628" s="10"/>
      <c r="D628" s="8"/>
      <c r="E628" s="8"/>
    </row>
    <row r="629" spans="1:5" ht="13.2" x14ac:dyDescent="0.25">
      <c r="A629" s="11"/>
      <c r="B629" s="9"/>
      <c r="C629" s="10"/>
      <c r="D629" s="8"/>
      <c r="E629" s="8"/>
    </row>
    <row r="630" spans="1:5" ht="13.2" x14ac:dyDescent="0.25">
      <c r="A630" s="11"/>
      <c r="B630" s="9"/>
      <c r="C630" s="10"/>
      <c r="D630" s="8"/>
      <c r="E630" s="8"/>
    </row>
    <row r="631" spans="1:5" ht="13.2" x14ac:dyDescent="0.25">
      <c r="A631" s="11"/>
      <c r="B631" s="9"/>
      <c r="C631" s="10"/>
      <c r="D631" s="8"/>
      <c r="E631" s="8"/>
    </row>
    <row r="632" spans="1:5" ht="13.2" x14ac:dyDescent="0.25">
      <c r="A632" s="11"/>
      <c r="B632" s="9"/>
      <c r="C632" s="10"/>
      <c r="D632" s="8"/>
      <c r="E632" s="8"/>
    </row>
    <row r="633" spans="1:5" ht="13.2" x14ac:dyDescent="0.25">
      <c r="A633" s="11"/>
      <c r="B633" s="9"/>
      <c r="C633" s="10"/>
      <c r="D633" s="8"/>
      <c r="E633" s="8"/>
    </row>
    <row r="634" spans="1:5" ht="13.2" x14ac:dyDescent="0.25">
      <c r="A634" s="11"/>
      <c r="B634" s="9"/>
      <c r="C634" s="10"/>
      <c r="D634" s="8"/>
      <c r="E634" s="8"/>
    </row>
    <row r="635" spans="1:5" ht="13.2" x14ac:dyDescent="0.25">
      <c r="A635" s="11"/>
      <c r="B635" s="9"/>
      <c r="C635" s="10"/>
      <c r="D635" s="8"/>
      <c r="E635" s="8"/>
    </row>
    <row r="636" spans="1:5" ht="13.2" x14ac:dyDescent="0.25">
      <c r="A636" s="11"/>
      <c r="B636" s="9"/>
      <c r="C636" s="10"/>
      <c r="D636" s="8"/>
      <c r="E636" s="8"/>
    </row>
    <row r="637" spans="1:5" ht="13.2" x14ac:dyDescent="0.25">
      <c r="A637" s="11"/>
      <c r="B637" s="9"/>
      <c r="C637" s="10"/>
      <c r="D637" s="8"/>
      <c r="E637" s="8"/>
    </row>
    <row r="638" spans="1:5" ht="13.2" x14ac:dyDescent="0.25">
      <c r="A638" s="11"/>
      <c r="B638" s="9"/>
      <c r="C638" s="10"/>
      <c r="D638" s="8"/>
      <c r="E638" s="8"/>
    </row>
    <row r="639" spans="1:5" ht="13.2" x14ac:dyDescent="0.25">
      <c r="A639" s="11"/>
      <c r="B639" s="9"/>
      <c r="C639" s="10"/>
      <c r="D639" s="8"/>
      <c r="E639" s="8"/>
    </row>
    <row r="640" spans="1:5" ht="13.2" x14ac:dyDescent="0.25">
      <c r="A640" s="11"/>
      <c r="B640" s="9"/>
      <c r="C640" s="10"/>
      <c r="D640" s="8"/>
      <c r="E640" s="8"/>
    </row>
    <row r="641" spans="1:5" ht="13.2" x14ac:dyDescent="0.25">
      <c r="A641" s="11"/>
      <c r="B641" s="9"/>
      <c r="C641" s="10"/>
      <c r="D641" s="8"/>
      <c r="E641" s="8"/>
    </row>
    <row r="642" spans="1:5" ht="13.2" x14ac:dyDescent="0.25">
      <c r="A642" s="11"/>
      <c r="B642" s="9"/>
      <c r="C642" s="10"/>
      <c r="D642" s="8"/>
      <c r="E642" s="8"/>
    </row>
    <row r="643" spans="1:5" ht="13.2" x14ac:dyDescent="0.25">
      <c r="A643" s="11"/>
      <c r="B643" s="9"/>
      <c r="C643" s="10"/>
      <c r="D643" s="8"/>
      <c r="E643" s="8"/>
    </row>
    <row r="644" spans="1:5" ht="13.2" x14ac:dyDescent="0.25">
      <c r="A644" s="11"/>
      <c r="B644" s="9"/>
      <c r="C644" s="10"/>
      <c r="D644" s="8"/>
      <c r="E644" s="8"/>
    </row>
    <row r="645" spans="1:5" ht="13.2" x14ac:dyDescent="0.25">
      <c r="A645" s="11"/>
      <c r="B645" s="9"/>
      <c r="C645" s="10"/>
      <c r="D645" s="8"/>
      <c r="E645" s="8"/>
    </row>
    <row r="646" spans="1:5" ht="13.2" x14ac:dyDescent="0.25">
      <c r="A646" s="11"/>
      <c r="B646" s="9"/>
      <c r="C646" s="10"/>
      <c r="D646" s="8"/>
      <c r="E646" s="8"/>
    </row>
    <row r="647" spans="1:5" ht="13.2" x14ac:dyDescent="0.25">
      <c r="A647" s="11"/>
      <c r="B647" s="9"/>
      <c r="C647" s="10"/>
      <c r="D647" s="8"/>
      <c r="E647" s="8"/>
    </row>
    <row r="648" spans="1:5" ht="13.2" x14ac:dyDescent="0.25">
      <c r="A648" s="11"/>
      <c r="B648" s="9"/>
      <c r="C648" s="10"/>
      <c r="D648" s="8"/>
      <c r="E648" s="8"/>
    </row>
    <row r="649" spans="1:5" ht="13.2" x14ac:dyDescent="0.25">
      <c r="A649" s="11"/>
      <c r="B649" s="9"/>
      <c r="C649" s="10"/>
      <c r="D649" s="8"/>
      <c r="E649" s="8"/>
    </row>
    <row r="650" spans="1:5" ht="13.2" x14ac:dyDescent="0.25">
      <c r="A650" s="11"/>
      <c r="B650" s="9"/>
      <c r="C650" s="10"/>
      <c r="D650" s="8"/>
      <c r="E650" s="8"/>
    </row>
    <row r="651" spans="1:5" ht="13.2" x14ac:dyDescent="0.25">
      <c r="A651" s="11"/>
      <c r="B651" s="9"/>
      <c r="C651" s="10"/>
      <c r="D651" s="8"/>
      <c r="E651" s="8"/>
    </row>
    <row r="652" spans="1:5" ht="13.2" x14ac:dyDescent="0.25">
      <c r="A652" s="11"/>
      <c r="B652" s="9"/>
      <c r="C652" s="10"/>
      <c r="D652" s="8"/>
      <c r="E652" s="8"/>
    </row>
    <row r="653" spans="1:5" ht="13.2" x14ac:dyDescent="0.25">
      <c r="A653" s="11"/>
      <c r="B653" s="9"/>
      <c r="C653" s="10"/>
      <c r="D653" s="8"/>
      <c r="E653" s="8"/>
    </row>
    <row r="654" spans="1:5" ht="13.2" x14ac:dyDescent="0.25">
      <c r="A654" s="11"/>
      <c r="B654" s="9"/>
      <c r="C654" s="10"/>
      <c r="D654" s="8"/>
      <c r="E654" s="8"/>
    </row>
    <row r="655" spans="1:5" ht="13.2" x14ac:dyDescent="0.25">
      <c r="A655" s="11"/>
      <c r="B655" s="9"/>
      <c r="C655" s="10"/>
      <c r="D655" s="8"/>
      <c r="E655" s="8"/>
    </row>
    <row r="656" spans="1:5" ht="13.2" x14ac:dyDescent="0.25">
      <c r="A656" s="11"/>
      <c r="B656" s="9"/>
      <c r="C656" s="10"/>
      <c r="D656" s="8"/>
      <c r="E656" s="8"/>
    </row>
    <row r="657" spans="1:5" ht="13.2" x14ac:dyDescent="0.25">
      <c r="A657" s="11"/>
      <c r="B657" s="9"/>
      <c r="C657" s="10"/>
      <c r="D657" s="8"/>
      <c r="E657" s="8"/>
    </row>
    <row r="658" spans="1:5" ht="13.2" x14ac:dyDescent="0.25">
      <c r="A658" s="11"/>
      <c r="B658" s="9"/>
      <c r="C658" s="10"/>
      <c r="D658" s="8"/>
      <c r="E658" s="8"/>
    </row>
    <row r="659" spans="1:5" ht="13.2" x14ac:dyDescent="0.25">
      <c r="A659" s="11"/>
      <c r="B659" s="9"/>
      <c r="C659" s="10"/>
      <c r="D659" s="8"/>
      <c r="E659" s="8"/>
    </row>
    <row r="660" spans="1:5" ht="13.2" x14ac:dyDescent="0.25">
      <c r="A660" s="11"/>
      <c r="B660" s="9"/>
      <c r="C660" s="10"/>
      <c r="D660" s="8"/>
      <c r="E660" s="8"/>
    </row>
    <row r="661" spans="1:5" ht="13.2" x14ac:dyDescent="0.25">
      <c r="A661" s="11"/>
      <c r="B661" s="9"/>
      <c r="C661" s="10"/>
      <c r="D661" s="8"/>
      <c r="E661" s="8"/>
    </row>
    <row r="662" spans="1:5" ht="13.2" x14ac:dyDescent="0.25">
      <c r="A662" s="11"/>
      <c r="B662" s="9"/>
      <c r="C662" s="10"/>
      <c r="D662" s="8"/>
      <c r="E662" s="8"/>
    </row>
    <row r="663" spans="1:5" ht="13.2" x14ac:dyDescent="0.25">
      <c r="A663" s="11"/>
      <c r="B663" s="9"/>
      <c r="C663" s="10"/>
      <c r="D663" s="8"/>
      <c r="E663" s="8"/>
    </row>
    <row r="664" spans="1:5" ht="13.2" x14ac:dyDescent="0.25">
      <c r="A664" s="11"/>
      <c r="B664" s="9"/>
      <c r="C664" s="10"/>
      <c r="D664" s="8"/>
      <c r="E664" s="8"/>
    </row>
    <row r="665" spans="1:5" ht="13.2" x14ac:dyDescent="0.25">
      <c r="A665" s="11"/>
      <c r="B665" s="9"/>
      <c r="C665" s="10"/>
      <c r="D665" s="8"/>
      <c r="E665" s="8"/>
    </row>
    <row r="666" spans="1:5" ht="13.2" x14ac:dyDescent="0.25">
      <c r="A666" s="11"/>
      <c r="B666" s="9"/>
      <c r="C666" s="10"/>
      <c r="D666" s="8"/>
      <c r="E666" s="8"/>
    </row>
    <row r="667" spans="1:5" ht="13.2" x14ac:dyDescent="0.25">
      <c r="A667" s="11"/>
      <c r="B667" s="9"/>
      <c r="C667" s="10"/>
      <c r="D667" s="8"/>
      <c r="E667" s="8"/>
    </row>
    <row r="668" spans="1:5" ht="13.2" x14ac:dyDescent="0.25">
      <c r="A668" s="11"/>
      <c r="B668" s="9"/>
      <c r="C668" s="10"/>
      <c r="D668" s="8"/>
      <c r="E668" s="8"/>
    </row>
    <row r="669" spans="1:5" ht="13.2" x14ac:dyDescent="0.25">
      <c r="A669" s="11"/>
      <c r="B669" s="9"/>
      <c r="C669" s="10"/>
      <c r="D669" s="8"/>
      <c r="E669" s="8"/>
    </row>
    <row r="670" spans="1:5" ht="13.2" x14ac:dyDescent="0.25">
      <c r="A670" s="11"/>
      <c r="B670" s="9"/>
      <c r="C670" s="10"/>
      <c r="D670" s="8"/>
      <c r="E670" s="8"/>
    </row>
    <row r="671" spans="1:5" ht="13.2" x14ac:dyDescent="0.25">
      <c r="A671" s="11"/>
      <c r="B671" s="9"/>
      <c r="C671" s="10"/>
      <c r="D671" s="8"/>
      <c r="E671" s="8"/>
    </row>
    <row r="672" spans="1:5" ht="13.2" x14ac:dyDescent="0.25">
      <c r="A672" s="11"/>
      <c r="B672" s="9"/>
      <c r="C672" s="10"/>
      <c r="D672" s="8"/>
      <c r="E672" s="8"/>
    </row>
    <row r="673" spans="1:5" ht="13.2" x14ac:dyDescent="0.25">
      <c r="A673" s="11"/>
      <c r="B673" s="9"/>
      <c r="C673" s="10"/>
      <c r="D673" s="8"/>
      <c r="E673" s="8"/>
    </row>
    <row r="674" spans="1:5" ht="13.2" x14ac:dyDescent="0.25">
      <c r="A674" s="11"/>
      <c r="B674" s="9"/>
      <c r="C674" s="10"/>
      <c r="D674" s="8"/>
      <c r="E674" s="8"/>
    </row>
    <row r="675" spans="1:5" ht="13.2" x14ac:dyDescent="0.25">
      <c r="A675" s="11"/>
      <c r="B675" s="9"/>
      <c r="C675" s="10"/>
      <c r="D675" s="8"/>
      <c r="E675" s="8"/>
    </row>
    <row r="676" spans="1:5" ht="13.2" x14ac:dyDescent="0.25">
      <c r="A676" s="11"/>
      <c r="B676" s="9"/>
      <c r="C676" s="10"/>
      <c r="D676" s="8"/>
      <c r="E676" s="8"/>
    </row>
    <row r="677" spans="1:5" ht="13.2" x14ac:dyDescent="0.25">
      <c r="A677" s="11"/>
      <c r="B677" s="9"/>
      <c r="C677" s="10"/>
      <c r="D677" s="8"/>
      <c r="E677" s="8"/>
    </row>
    <row r="678" spans="1:5" ht="13.2" x14ac:dyDescent="0.25">
      <c r="A678" s="11"/>
      <c r="B678" s="9"/>
      <c r="C678" s="10"/>
      <c r="D678" s="8"/>
      <c r="E678" s="8"/>
    </row>
    <row r="679" spans="1:5" ht="13.2" x14ac:dyDescent="0.25">
      <c r="A679" s="11"/>
      <c r="B679" s="9"/>
      <c r="C679" s="10"/>
      <c r="D679" s="8"/>
      <c r="E679" s="8"/>
    </row>
    <row r="680" spans="1:5" ht="13.2" x14ac:dyDescent="0.25">
      <c r="A680" s="11"/>
      <c r="B680" s="9"/>
      <c r="C680" s="10"/>
      <c r="D680" s="8"/>
      <c r="E680" s="8"/>
    </row>
    <row r="681" spans="1:5" ht="13.2" x14ac:dyDescent="0.25">
      <c r="A681" s="11"/>
      <c r="B681" s="9"/>
      <c r="C681" s="10"/>
      <c r="D681" s="8"/>
      <c r="E681" s="8"/>
    </row>
    <row r="682" spans="1:5" ht="13.2" x14ac:dyDescent="0.25">
      <c r="A682" s="11"/>
      <c r="B682" s="9"/>
      <c r="C682" s="10"/>
      <c r="D682" s="8"/>
      <c r="E682" s="8"/>
    </row>
    <row r="683" spans="1:5" ht="13.2" x14ac:dyDescent="0.25">
      <c r="A683" s="11"/>
      <c r="B683" s="9"/>
      <c r="C683" s="10"/>
      <c r="D683" s="8"/>
      <c r="E683" s="8"/>
    </row>
    <row r="684" spans="1:5" ht="13.2" x14ac:dyDescent="0.25">
      <c r="A684" s="11"/>
      <c r="B684" s="9"/>
      <c r="C684" s="10"/>
      <c r="D684" s="8"/>
      <c r="E684" s="8"/>
    </row>
    <row r="685" spans="1:5" ht="13.2" x14ac:dyDescent="0.25">
      <c r="A685" s="11"/>
      <c r="B685" s="9"/>
      <c r="C685" s="10"/>
      <c r="D685" s="8"/>
      <c r="E685" s="8"/>
    </row>
    <row r="686" spans="1:5" ht="13.2" x14ac:dyDescent="0.25">
      <c r="A686" s="11"/>
      <c r="B686" s="9"/>
      <c r="C686" s="10"/>
      <c r="D686" s="8"/>
      <c r="E686" s="8"/>
    </row>
    <row r="687" spans="1:5" ht="13.2" x14ac:dyDescent="0.25">
      <c r="A687" s="11"/>
      <c r="B687" s="9"/>
      <c r="C687" s="10"/>
      <c r="D687" s="8"/>
      <c r="E687" s="8"/>
    </row>
    <row r="688" spans="1:5" ht="13.2" x14ac:dyDescent="0.25">
      <c r="A688" s="11"/>
      <c r="B688" s="9"/>
      <c r="C688" s="10"/>
      <c r="D688" s="8"/>
      <c r="E688" s="8"/>
    </row>
    <row r="689" spans="1:5" ht="13.2" x14ac:dyDescent="0.25">
      <c r="A689" s="11"/>
      <c r="B689" s="9"/>
      <c r="C689" s="10"/>
      <c r="D689" s="8"/>
      <c r="E689" s="8"/>
    </row>
    <row r="690" spans="1:5" ht="13.2" x14ac:dyDescent="0.25">
      <c r="A690" s="11"/>
      <c r="B690" s="9"/>
      <c r="C690" s="10"/>
      <c r="D690" s="8"/>
      <c r="E690" s="8"/>
    </row>
    <row r="691" spans="1:5" ht="13.2" x14ac:dyDescent="0.25">
      <c r="A691" s="11"/>
      <c r="B691" s="9"/>
      <c r="C691" s="10"/>
      <c r="D691" s="8"/>
      <c r="E691" s="8"/>
    </row>
    <row r="692" spans="1:5" ht="13.2" x14ac:dyDescent="0.25">
      <c r="A692" s="11"/>
      <c r="B692" s="9"/>
      <c r="C692" s="10"/>
      <c r="D692" s="8"/>
      <c r="E692" s="8"/>
    </row>
    <row r="693" spans="1:5" ht="13.2" x14ac:dyDescent="0.25">
      <c r="A693" s="11"/>
      <c r="B693" s="9"/>
      <c r="C693" s="10"/>
      <c r="D693" s="8"/>
      <c r="E693" s="8"/>
    </row>
    <row r="694" spans="1:5" ht="13.2" x14ac:dyDescent="0.25">
      <c r="A694" s="11"/>
      <c r="B694" s="9"/>
      <c r="C694" s="10"/>
      <c r="D694" s="8"/>
      <c r="E694" s="8"/>
    </row>
    <row r="695" spans="1:5" ht="13.2" x14ac:dyDescent="0.25">
      <c r="A695" s="11"/>
      <c r="B695" s="9"/>
      <c r="C695" s="10"/>
      <c r="D695" s="8"/>
      <c r="E695" s="8"/>
    </row>
    <row r="696" spans="1:5" ht="13.2" x14ac:dyDescent="0.25">
      <c r="A696" s="11"/>
      <c r="B696" s="9"/>
      <c r="C696" s="10"/>
      <c r="D696" s="8"/>
      <c r="E696" s="8"/>
    </row>
    <row r="697" spans="1:5" ht="13.2" x14ac:dyDescent="0.25">
      <c r="A697" s="11"/>
      <c r="B697" s="9"/>
      <c r="C697" s="10"/>
      <c r="D697" s="8"/>
      <c r="E697" s="8"/>
    </row>
    <row r="698" spans="1:5" ht="13.2" x14ac:dyDescent="0.25">
      <c r="A698" s="11"/>
      <c r="B698" s="9"/>
      <c r="C698" s="10"/>
      <c r="D698" s="8"/>
      <c r="E698" s="8"/>
    </row>
    <row r="699" spans="1:5" ht="13.2" x14ac:dyDescent="0.25">
      <c r="A699" s="11"/>
      <c r="B699" s="9"/>
      <c r="C699" s="10"/>
      <c r="D699" s="8"/>
      <c r="E699" s="8"/>
    </row>
    <row r="700" spans="1:5" ht="13.2" x14ac:dyDescent="0.25">
      <c r="A700" s="11"/>
      <c r="B700" s="9"/>
      <c r="C700" s="10"/>
      <c r="D700" s="8"/>
      <c r="E700" s="8"/>
    </row>
    <row r="701" spans="1:5" ht="13.2" x14ac:dyDescent="0.25">
      <c r="A701" s="11"/>
      <c r="B701" s="9"/>
      <c r="C701" s="10"/>
      <c r="D701" s="8"/>
      <c r="E701" s="8"/>
    </row>
    <row r="702" spans="1:5" ht="13.2" x14ac:dyDescent="0.25">
      <c r="A702" s="11"/>
      <c r="B702" s="9"/>
      <c r="C702" s="10"/>
      <c r="D702" s="8"/>
      <c r="E702" s="8"/>
    </row>
    <row r="703" spans="1:5" ht="13.2" x14ac:dyDescent="0.25">
      <c r="A703" s="11"/>
      <c r="B703" s="9"/>
      <c r="C703" s="10"/>
      <c r="D703" s="8"/>
      <c r="E703" s="8"/>
    </row>
    <row r="704" spans="1:5" ht="13.2" x14ac:dyDescent="0.25">
      <c r="A704" s="11"/>
      <c r="B704" s="9"/>
      <c r="C704" s="10"/>
      <c r="D704" s="8"/>
      <c r="E704" s="8"/>
    </row>
    <row r="705" spans="1:5" ht="13.2" x14ac:dyDescent="0.25">
      <c r="A705" s="11"/>
      <c r="B705" s="9"/>
      <c r="C705" s="10"/>
      <c r="D705" s="8"/>
      <c r="E705" s="8"/>
    </row>
    <row r="706" spans="1:5" ht="13.2" x14ac:dyDescent="0.25">
      <c r="A706" s="11"/>
      <c r="B706" s="9"/>
      <c r="C706" s="10"/>
      <c r="D706" s="8"/>
      <c r="E706" s="8"/>
    </row>
    <row r="707" spans="1:5" ht="13.2" x14ac:dyDescent="0.25">
      <c r="A707" s="11"/>
      <c r="B707" s="9"/>
      <c r="C707" s="10"/>
      <c r="D707" s="8"/>
      <c r="E707" s="8"/>
    </row>
    <row r="708" spans="1:5" ht="13.2" x14ac:dyDescent="0.25">
      <c r="A708" s="11"/>
      <c r="B708" s="9"/>
      <c r="C708" s="10"/>
      <c r="D708" s="8"/>
      <c r="E708" s="8"/>
    </row>
    <row r="709" spans="1:5" ht="13.2" x14ac:dyDescent="0.25">
      <c r="A709" s="11"/>
      <c r="B709" s="9"/>
      <c r="C709" s="10"/>
      <c r="D709" s="8"/>
      <c r="E709" s="8"/>
    </row>
    <row r="710" spans="1:5" ht="13.2" x14ac:dyDescent="0.25">
      <c r="A710" s="11"/>
      <c r="B710" s="9"/>
      <c r="C710" s="10"/>
      <c r="D710" s="8"/>
      <c r="E710" s="8"/>
    </row>
    <row r="711" spans="1:5" ht="13.2" x14ac:dyDescent="0.25">
      <c r="A711" s="11"/>
      <c r="B711" s="9"/>
      <c r="C711" s="10"/>
      <c r="D711" s="8"/>
      <c r="E711" s="8"/>
    </row>
    <row r="712" spans="1:5" ht="13.2" x14ac:dyDescent="0.25">
      <c r="A712" s="11"/>
      <c r="B712" s="9"/>
      <c r="C712" s="10"/>
      <c r="D712" s="8"/>
      <c r="E712" s="8"/>
    </row>
    <row r="713" spans="1:5" ht="13.2" x14ac:dyDescent="0.25">
      <c r="A713" s="11"/>
      <c r="B713" s="9"/>
      <c r="C713" s="10"/>
      <c r="D713" s="8"/>
      <c r="E713" s="8"/>
    </row>
    <row r="714" spans="1:5" ht="13.2" x14ac:dyDescent="0.25">
      <c r="A714" s="11"/>
      <c r="B714" s="9"/>
      <c r="C714" s="10"/>
      <c r="D714" s="8"/>
      <c r="E714" s="8"/>
    </row>
    <row r="715" spans="1:5" ht="13.2" x14ac:dyDescent="0.25">
      <c r="A715" s="11"/>
      <c r="B715" s="9"/>
      <c r="C715" s="10"/>
      <c r="D715" s="8"/>
      <c r="E715" s="8"/>
    </row>
    <row r="716" spans="1:5" ht="13.2" x14ac:dyDescent="0.25">
      <c r="A716" s="11"/>
      <c r="B716" s="9"/>
      <c r="C716" s="10"/>
      <c r="D716" s="8"/>
      <c r="E716" s="8"/>
    </row>
    <row r="717" spans="1:5" ht="13.2" x14ac:dyDescent="0.25">
      <c r="A717" s="11"/>
      <c r="B717" s="9"/>
      <c r="C717" s="10"/>
      <c r="D717" s="8"/>
      <c r="E717" s="8"/>
    </row>
    <row r="718" spans="1:5" ht="13.2" x14ac:dyDescent="0.25">
      <c r="A718" s="11"/>
      <c r="B718" s="9"/>
      <c r="C718" s="10"/>
      <c r="D718" s="8"/>
      <c r="E718" s="8"/>
    </row>
    <row r="719" spans="1:5" ht="13.2" x14ac:dyDescent="0.25">
      <c r="A719" s="11"/>
      <c r="B719" s="9"/>
      <c r="C719" s="10"/>
      <c r="D719" s="8"/>
      <c r="E719" s="8"/>
    </row>
    <row r="720" spans="1:5" ht="13.2" x14ac:dyDescent="0.25">
      <c r="A720" s="11"/>
      <c r="B720" s="9"/>
      <c r="C720" s="10"/>
      <c r="D720" s="8"/>
      <c r="E720" s="8"/>
    </row>
    <row r="721" spans="1:5" ht="13.2" x14ac:dyDescent="0.25">
      <c r="A721" s="11"/>
      <c r="B721" s="9"/>
      <c r="C721" s="10"/>
      <c r="D721" s="8"/>
      <c r="E721" s="8"/>
    </row>
    <row r="722" spans="1:5" ht="13.2" x14ac:dyDescent="0.25">
      <c r="A722" s="11"/>
      <c r="B722" s="9"/>
      <c r="C722" s="10"/>
      <c r="D722" s="8"/>
      <c r="E722" s="8"/>
    </row>
    <row r="723" spans="1:5" ht="13.2" x14ac:dyDescent="0.25">
      <c r="A723" s="11"/>
      <c r="B723" s="9"/>
      <c r="C723" s="10"/>
      <c r="D723" s="8"/>
      <c r="E723" s="8"/>
    </row>
    <row r="724" spans="1:5" ht="13.2" x14ac:dyDescent="0.25">
      <c r="A724" s="11"/>
      <c r="B724" s="9"/>
      <c r="C724" s="10"/>
      <c r="D724" s="8"/>
      <c r="E724" s="8"/>
    </row>
    <row r="725" spans="1:5" ht="13.2" x14ac:dyDescent="0.25">
      <c r="A725" s="11"/>
      <c r="B725" s="9"/>
      <c r="C725" s="10"/>
      <c r="D725" s="8"/>
      <c r="E725" s="8"/>
    </row>
    <row r="726" spans="1:5" ht="13.2" x14ac:dyDescent="0.25">
      <c r="A726" s="11"/>
      <c r="B726" s="9"/>
      <c r="C726" s="10"/>
      <c r="D726" s="8"/>
      <c r="E726" s="8"/>
    </row>
    <row r="727" spans="1:5" ht="13.2" x14ac:dyDescent="0.25">
      <c r="A727" s="11"/>
      <c r="B727" s="9"/>
      <c r="C727" s="10"/>
      <c r="D727" s="8"/>
      <c r="E727" s="8"/>
    </row>
    <row r="728" spans="1:5" ht="13.2" x14ac:dyDescent="0.25">
      <c r="A728" s="11"/>
      <c r="B728" s="9"/>
      <c r="C728" s="10"/>
      <c r="D728" s="8"/>
      <c r="E728" s="8"/>
    </row>
    <row r="729" spans="1:5" ht="13.2" x14ac:dyDescent="0.25">
      <c r="A729" s="11"/>
      <c r="B729" s="9"/>
      <c r="C729" s="10"/>
      <c r="D729" s="8"/>
      <c r="E729" s="8"/>
    </row>
    <row r="730" spans="1:5" ht="13.2" x14ac:dyDescent="0.25">
      <c r="A730" s="11"/>
      <c r="B730" s="9"/>
      <c r="C730" s="10"/>
      <c r="D730" s="8"/>
      <c r="E730" s="8"/>
    </row>
    <row r="731" spans="1:5" ht="13.2" x14ac:dyDescent="0.25">
      <c r="A731" s="11"/>
      <c r="B731" s="9"/>
      <c r="C731" s="10"/>
      <c r="D731" s="8"/>
      <c r="E731" s="8"/>
    </row>
    <row r="732" spans="1:5" ht="13.2" x14ac:dyDescent="0.25">
      <c r="A732" s="11"/>
      <c r="B732" s="9"/>
      <c r="C732" s="10"/>
      <c r="D732" s="8"/>
      <c r="E732" s="8"/>
    </row>
    <row r="733" spans="1:5" ht="13.2" x14ac:dyDescent="0.25">
      <c r="A733" s="11"/>
      <c r="B733" s="9"/>
      <c r="C733" s="10"/>
      <c r="D733" s="8"/>
      <c r="E733" s="8"/>
    </row>
    <row r="734" spans="1:5" ht="13.2" x14ac:dyDescent="0.25">
      <c r="A734" s="11"/>
      <c r="B734" s="9"/>
      <c r="C734" s="10"/>
      <c r="D734" s="8"/>
      <c r="E734" s="8"/>
    </row>
    <row r="735" spans="1:5" ht="13.2" x14ac:dyDescent="0.25">
      <c r="A735" s="11"/>
      <c r="B735" s="9"/>
      <c r="C735" s="10"/>
      <c r="D735" s="8"/>
      <c r="E735" s="8"/>
    </row>
    <row r="736" spans="1:5" ht="13.2" x14ac:dyDescent="0.25">
      <c r="A736" s="11"/>
      <c r="B736" s="9"/>
      <c r="C736" s="10"/>
      <c r="D736" s="8"/>
      <c r="E736" s="8"/>
    </row>
    <row r="737" spans="1:5" ht="13.2" x14ac:dyDescent="0.25">
      <c r="A737" s="11"/>
      <c r="B737" s="9"/>
      <c r="C737" s="10"/>
      <c r="D737" s="8"/>
      <c r="E737" s="8"/>
    </row>
    <row r="738" spans="1:5" ht="13.2" x14ac:dyDescent="0.25">
      <c r="A738" s="11"/>
      <c r="B738" s="9"/>
      <c r="C738" s="10"/>
      <c r="D738" s="8"/>
      <c r="E738" s="8"/>
    </row>
    <row r="739" spans="1:5" ht="13.2" x14ac:dyDescent="0.25">
      <c r="A739" s="11"/>
      <c r="B739" s="9"/>
      <c r="C739" s="10"/>
      <c r="D739" s="8"/>
      <c r="E739" s="8"/>
    </row>
    <row r="740" spans="1:5" ht="13.2" x14ac:dyDescent="0.25">
      <c r="A740" s="11"/>
      <c r="B740" s="9"/>
      <c r="C740" s="10"/>
      <c r="D740" s="8"/>
      <c r="E740" s="8"/>
    </row>
    <row r="741" spans="1:5" ht="13.2" x14ac:dyDescent="0.25">
      <c r="A741" s="11"/>
      <c r="B741" s="9"/>
      <c r="C741" s="10"/>
      <c r="D741" s="8"/>
      <c r="E741" s="8"/>
    </row>
    <row r="742" spans="1:5" ht="13.2" x14ac:dyDescent="0.25">
      <c r="A742" s="11"/>
      <c r="B742" s="9"/>
      <c r="C742" s="10"/>
      <c r="D742" s="8"/>
      <c r="E742" s="8"/>
    </row>
    <row r="743" spans="1:5" ht="13.2" x14ac:dyDescent="0.25">
      <c r="A743" s="11"/>
      <c r="B743" s="9"/>
      <c r="C743" s="10"/>
      <c r="D743" s="8"/>
      <c r="E743" s="8"/>
    </row>
    <row r="744" spans="1:5" ht="13.2" x14ac:dyDescent="0.25">
      <c r="A744" s="11"/>
      <c r="B744" s="9"/>
      <c r="C744" s="10"/>
      <c r="D744" s="8"/>
      <c r="E744" s="8"/>
    </row>
    <row r="745" spans="1:5" ht="13.2" x14ac:dyDescent="0.25">
      <c r="A745" s="11"/>
      <c r="B745" s="9"/>
      <c r="C745" s="10"/>
      <c r="D745" s="8"/>
      <c r="E745" s="8"/>
    </row>
    <row r="746" spans="1:5" ht="13.2" x14ac:dyDescent="0.25">
      <c r="A746" s="11"/>
      <c r="B746" s="9"/>
      <c r="C746" s="10"/>
      <c r="D746" s="8"/>
      <c r="E746" s="8"/>
    </row>
    <row r="747" spans="1:5" ht="13.2" x14ac:dyDescent="0.25">
      <c r="A747" s="11"/>
      <c r="B747" s="9"/>
      <c r="C747" s="10"/>
      <c r="D747" s="8"/>
      <c r="E747" s="8"/>
    </row>
    <row r="748" spans="1:5" ht="13.2" x14ac:dyDescent="0.25">
      <c r="A748" s="11"/>
      <c r="B748" s="9"/>
      <c r="C748" s="10"/>
      <c r="D748" s="8"/>
      <c r="E748" s="8"/>
    </row>
    <row r="749" spans="1:5" ht="13.2" x14ac:dyDescent="0.25">
      <c r="A749" s="11"/>
      <c r="B749" s="9"/>
      <c r="C749" s="10"/>
      <c r="D749" s="8"/>
      <c r="E749" s="8"/>
    </row>
    <row r="750" spans="1:5" ht="13.2" x14ac:dyDescent="0.25">
      <c r="A750" s="11"/>
      <c r="B750" s="9"/>
      <c r="C750" s="10"/>
      <c r="D750" s="8"/>
      <c r="E750" s="8"/>
    </row>
    <row r="751" spans="1:5" ht="13.2" x14ac:dyDescent="0.25">
      <c r="A751" s="11"/>
      <c r="B751" s="9"/>
      <c r="C751" s="10"/>
      <c r="D751" s="8"/>
      <c r="E751" s="8"/>
    </row>
    <row r="752" spans="1:5" ht="13.2" x14ac:dyDescent="0.25">
      <c r="A752" s="11"/>
      <c r="B752" s="9"/>
      <c r="C752" s="10"/>
      <c r="D752" s="8"/>
      <c r="E752" s="8"/>
    </row>
    <row r="753" spans="1:5" ht="13.2" x14ac:dyDescent="0.25">
      <c r="A753" s="11"/>
      <c r="B753" s="9"/>
      <c r="C753" s="10"/>
      <c r="D753" s="8"/>
      <c r="E753" s="8"/>
    </row>
    <row r="754" spans="1:5" ht="13.2" x14ac:dyDescent="0.25">
      <c r="A754" s="11"/>
      <c r="B754" s="9"/>
      <c r="C754" s="10"/>
      <c r="D754" s="8"/>
      <c r="E754" s="8"/>
    </row>
    <row r="755" spans="1:5" ht="13.2" x14ac:dyDescent="0.25">
      <c r="A755" s="11"/>
      <c r="B755" s="9"/>
      <c r="C755" s="10"/>
      <c r="D755" s="8"/>
      <c r="E755" s="8"/>
    </row>
    <row r="756" spans="1:5" ht="13.2" x14ac:dyDescent="0.25">
      <c r="A756" s="11"/>
      <c r="B756" s="9"/>
      <c r="C756" s="10"/>
      <c r="D756" s="8"/>
      <c r="E756" s="8"/>
    </row>
    <row r="757" spans="1:5" ht="13.2" x14ac:dyDescent="0.25">
      <c r="A757" s="11"/>
      <c r="B757" s="9"/>
      <c r="C757" s="10"/>
      <c r="D757" s="8"/>
      <c r="E757" s="8"/>
    </row>
    <row r="758" spans="1:5" ht="13.2" x14ac:dyDescent="0.25">
      <c r="A758" s="11"/>
      <c r="B758" s="9"/>
      <c r="C758" s="10"/>
      <c r="D758" s="8"/>
      <c r="E758" s="8"/>
    </row>
    <row r="759" spans="1:5" ht="13.2" x14ac:dyDescent="0.25">
      <c r="A759" s="11"/>
      <c r="B759" s="9"/>
      <c r="C759" s="10"/>
      <c r="D759" s="8"/>
      <c r="E759" s="8"/>
    </row>
    <row r="760" spans="1:5" ht="13.2" x14ac:dyDescent="0.25">
      <c r="A760" s="11"/>
      <c r="B760" s="9"/>
      <c r="C760" s="10"/>
      <c r="D760" s="8"/>
      <c r="E760" s="8"/>
    </row>
    <row r="761" spans="1:5" ht="13.2" x14ac:dyDescent="0.25">
      <c r="A761" s="11"/>
      <c r="B761" s="9"/>
      <c r="C761" s="10"/>
      <c r="D761" s="8"/>
      <c r="E761" s="8"/>
    </row>
    <row r="762" spans="1:5" ht="13.2" x14ac:dyDescent="0.25">
      <c r="A762" s="11"/>
      <c r="B762" s="9"/>
      <c r="C762" s="10"/>
      <c r="D762" s="8"/>
      <c r="E762" s="8"/>
    </row>
    <row r="763" spans="1:5" ht="13.2" x14ac:dyDescent="0.25">
      <c r="A763" s="11"/>
      <c r="B763" s="9"/>
      <c r="C763" s="10"/>
      <c r="D763" s="8"/>
      <c r="E763" s="8"/>
    </row>
    <row r="764" spans="1:5" ht="13.2" x14ac:dyDescent="0.25">
      <c r="A764" s="11"/>
      <c r="B764" s="9"/>
      <c r="C764" s="10"/>
      <c r="D764" s="8"/>
      <c r="E764" s="8"/>
    </row>
    <row r="765" spans="1:5" ht="13.2" x14ac:dyDescent="0.25">
      <c r="A765" s="11"/>
      <c r="B765" s="9"/>
      <c r="C765" s="10"/>
      <c r="D765" s="8"/>
      <c r="E765" s="8"/>
    </row>
    <row r="766" spans="1:5" ht="13.2" x14ac:dyDescent="0.25">
      <c r="A766" s="11"/>
      <c r="B766" s="9"/>
      <c r="C766" s="10"/>
      <c r="D766" s="8"/>
      <c r="E766" s="8"/>
    </row>
    <row r="767" spans="1:5" ht="13.2" x14ac:dyDescent="0.25">
      <c r="A767" s="11"/>
      <c r="B767" s="9"/>
      <c r="C767" s="10"/>
      <c r="D767" s="8"/>
      <c r="E767" s="8"/>
    </row>
    <row r="768" spans="1:5" ht="13.2" x14ac:dyDescent="0.25">
      <c r="A768" s="11"/>
      <c r="B768" s="9"/>
      <c r="C768" s="10"/>
      <c r="D768" s="8"/>
      <c r="E768" s="8"/>
    </row>
    <row r="769" spans="1:5" ht="13.2" x14ac:dyDescent="0.25">
      <c r="A769" s="11"/>
      <c r="B769" s="9"/>
      <c r="C769" s="10"/>
      <c r="D769" s="8"/>
      <c r="E769" s="8"/>
    </row>
    <row r="770" spans="1:5" ht="13.2" x14ac:dyDescent="0.25">
      <c r="A770" s="11"/>
      <c r="B770" s="9"/>
      <c r="C770" s="10"/>
      <c r="D770" s="8"/>
      <c r="E770" s="8"/>
    </row>
    <row r="771" spans="1:5" ht="13.2" x14ac:dyDescent="0.25">
      <c r="A771" s="11"/>
      <c r="B771" s="9"/>
      <c r="C771" s="10"/>
      <c r="D771" s="8"/>
      <c r="E771" s="8"/>
    </row>
    <row r="772" spans="1:5" ht="13.2" x14ac:dyDescent="0.25">
      <c r="A772" s="11"/>
      <c r="B772" s="9"/>
      <c r="C772" s="10"/>
      <c r="D772" s="8"/>
      <c r="E772" s="8"/>
    </row>
    <row r="773" spans="1:5" ht="13.2" x14ac:dyDescent="0.25">
      <c r="A773" s="11"/>
      <c r="B773" s="9"/>
      <c r="C773" s="10"/>
      <c r="D773" s="8"/>
      <c r="E773" s="8"/>
    </row>
    <row r="774" spans="1:5" ht="13.2" x14ac:dyDescent="0.25">
      <c r="A774" s="11"/>
      <c r="B774" s="9"/>
      <c r="C774" s="10"/>
      <c r="D774" s="8"/>
      <c r="E774" s="8"/>
    </row>
    <row r="775" spans="1:5" ht="13.2" x14ac:dyDescent="0.25">
      <c r="A775" s="11"/>
      <c r="B775" s="9"/>
      <c r="C775" s="10"/>
      <c r="D775" s="8"/>
      <c r="E775" s="8"/>
    </row>
    <row r="776" spans="1:5" ht="13.2" x14ac:dyDescent="0.25">
      <c r="A776" s="11"/>
      <c r="B776" s="9"/>
      <c r="C776" s="10"/>
      <c r="D776" s="8"/>
      <c r="E776" s="8"/>
    </row>
    <row r="777" spans="1:5" ht="13.2" x14ac:dyDescent="0.25">
      <c r="A777" s="11"/>
      <c r="B777" s="9"/>
      <c r="C777" s="10"/>
      <c r="D777" s="8"/>
      <c r="E777" s="8"/>
    </row>
    <row r="778" spans="1:5" ht="13.2" x14ac:dyDescent="0.25">
      <c r="A778" s="11"/>
      <c r="B778" s="9"/>
      <c r="C778" s="10"/>
      <c r="D778" s="8"/>
      <c r="E778" s="8"/>
    </row>
    <row r="779" spans="1:5" ht="13.2" x14ac:dyDescent="0.25">
      <c r="A779" s="11"/>
      <c r="B779" s="9"/>
      <c r="C779" s="10"/>
      <c r="D779" s="8"/>
      <c r="E779" s="8"/>
    </row>
    <row r="780" spans="1:5" ht="13.2" x14ac:dyDescent="0.25">
      <c r="A780" s="11"/>
      <c r="B780" s="9"/>
      <c r="C780" s="10"/>
      <c r="D780" s="8"/>
      <c r="E780" s="8"/>
    </row>
    <row r="781" spans="1:5" ht="13.2" x14ac:dyDescent="0.25">
      <c r="A781" s="11"/>
      <c r="B781" s="9"/>
      <c r="C781" s="10"/>
      <c r="D781" s="8"/>
      <c r="E781" s="8"/>
    </row>
    <row r="782" spans="1:5" ht="13.2" x14ac:dyDescent="0.25">
      <c r="A782" s="11"/>
      <c r="B782" s="9"/>
      <c r="C782" s="10"/>
      <c r="D782" s="8"/>
      <c r="E782" s="8"/>
    </row>
    <row r="783" spans="1:5" ht="13.2" x14ac:dyDescent="0.25">
      <c r="A783" s="11"/>
      <c r="B783" s="9"/>
      <c r="C783" s="10"/>
      <c r="D783" s="8"/>
      <c r="E783" s="8"/>
    </row>
    <row r="784" spans="1:5" ht="13.2" x14ac:dyDescent="0.25">
      <c r="A784" s="11"/>
      <c r="B784" s="9"/>
      <c r="C784" s="10"/>
      <c r="D784" s="8"/>
      <c r="E784" s="8"/>
    </row>
    <row r="785" spans="1:5" ht="13.2" x14ac:dyDescent="0.25">
      <c r="A785" s="11"/>
      <c r="B785" s="9"/>
      <c r="C785" s="10"/>
      <c r="D785" s="8"/>
      <c r="E785" s="8"/>
    </row>
    <row r="786" spans="1:5" ht="13.2" x14ac:dyDescent="0.25">
      <c r="A786" s="11"/>
      <c r="B786" s="9"/>
      <c r="C786" s="10"/>
      <c r="D786" s="8"/>
      <c r="E786" s="8"/>
    </row>
    <row r="787" spans="1:5" ht="13.2" x14ac:dyDescent="0.25">
      <c r="A787" s="11"/>
      <c r="B787" s="9"/>
      <c r="C787" s="10"/>
      <c r="D787" s="8"/>
      <c r="E787" s="8"/>
    </row>
    <row r="788" spans="1:5" ht="13.2" x14ac:dyDescent="0.25">
      <c r="A788" s="11"/>
      <c r="B788" s="9"/>
      <c r="C788" s="10"/>
      <c r="D788" s="8"/>
      <c r="E788" s="8"/>
    </row>
    <row r="789" spans="1:5" ht="13.2" x14ac:dyDescent="0.25">
      <c r="A789" s="11"/>
      <c r="B789" s="9"/>
      <c r="C789" s="10"/>
      <c r="D789" s="8"/>
      <c r="E789" s="8"/>
    </row>
    <row r="790" spans="1:5" ht="13.2" x14ac:dyDescent="0.25">
      <c r="A790" s="11"/>
      <c r="B790" s="9"/>
      <c r="C790" s="10"/>
      <c r="D790" s="8"/>
      <c r="E790" s="8"/>
    </row>
    <row r="791" spans="1:5" ht="13.2" x14ac:dyDescent="0.25">
      <c r="A791" s="11"/>
      <c r="B791" s="9"/>
      <c r="C791" s="10"/>
      <c r="D791" s="8"/>
      <c r="E791" s="8"/>
    </row>
    <row r="792" spans="1:5" ht="13.2" x14ac:dyDescent="0.25">
      <c r="A792" s="11"/>
      <c r="B792" s="9"/>
      <c r="C792" s="10"/>
      <c r="D792" s="8"/>
      <c r="E792" s="8"/>
    </row>
    <row r="793" spans="1:5" ht="13.2" x14ac:dyDescent="0.25">
      <c r="A793" s="11"/>
      <c r="B793" s="9"/>
      <c r="C793" s="10"/>
      <c r="D793" s="8"/>
      <c r="E793" s="8"/>
    </row>
    <row r="794" spans="1:5" ht="13.2" x14ac:dyDescent="0.25">
      <c r="A794" s="11"/>
      <c r="B794" s="9"/>
      <c r="C794" s="10"/>
      <c r="D794" s="8"/>
      <c r="E794" s="8"/>
    </row>
    <row r="795" spans="1:5" ht="13.2" x14ac:dyDescent="0.25">
      <c r="A795" s="11"/>
      <c r="B795" s="9"/>
      <c r="C795" s="10"/>
      <c r="D795" s="8"/>
      <c r="E795" s="8"/>
    </row>
    <row r="796" spans="1:5" ht="13.2" x14ac:dyDescent="0.25">
      <c r="A796" s="11"/>
      <c r="B796" s="9"/>
      <c r="C796" s="10"/>
      <c r="D796" s="8"/>
      <c r="E796" s="8"/>
    </row>
    <row r="797" spans="1:5" ht="13.2" x14ac:dyDescent="0.25">
      <c r="A797" s="11"/>
      <c r="B797" s="9"/>
      <c r="C797" s="10"/>
      <c r="D797" s="8"/>
      <c r="E797" s="8"/>
    </row>
    <row r="798" spans="1:5" ht="13.2" x14ac:dyDescent="0.25">
      <c r="A798" s="11"/>
      <c r="B798" s="9"/>
      <c r="C798" s="10"/>
      <c r="D798" s="8"/>
      <c r="E798" s="8"/>
    </row>
    <row r="799" spans="1:5" ht="13.2" x14ac:dyDescent="0.25">
      <c r="A799" s="11"/>
      <c r="B799" s="9"/>
      <c r="C799" s="10"/>
      <c r="D799" s="8"/>
      <c r="E799" s="8"/>
    </row>
    <row r="800" spans="1:5" ht="13.2" x14ac:dyDescent="0.25">
      <c r="A800" s="11"/>
      <c r="B800" s="9"/>
      <c r="C800" s="10"/>
      <c r="D800" s="8"/>
      <c r="E800" s="8"/>
    </row>
    <row r="801" spans="1:5" ht="13.2" x14ac:dyDescent="0.25">
      <c r="A801" s="11"/>
      <c r="B801" s="9"/>
      <c r="C801" s="10"/>
      <c r="D801" s="8"/>
      <c r="E801" s="8"/>
    </row>
    <row r="802" spans="1:5" ht="13.2" x14ac:dyDescent="0.25">
      <c r="A802" s="11"/>
      <c r="B802" s="9"/>
      <c r="C802" s="10"/>
      <c r="D802" s="8"/>
      <c r="E802" s="8"/>
    </row>
    <row r="803" spans="1:5" ht="13.2" x14ac:dyDescent="0.25">
      <c r="A803" s="11"/>
      <c r="B803" s="9"/>
      <c r="C803" s="10"/>
      <c r="D803" s="8"/>
      <c r="E803" s="8"/>
    </row>
    <row r="804" spans="1:5" ht="13.2" x14ac:dyDescent="0.25">
      <c r="A804" s="11"/>
      <c r="B804" s="9"/>
      <c r="C804" s="10"/>
      <c r="D804" s="8"/>
      <c r="E804" s="8"/>
    </row>
    <row r="805" spans="1:5" ht="13.2" x14ac:dyDescent="0.25">
      <c r="A805" s="11"/>
      <c r="B805" s="9"/>
      <c r="C805" s="10"/>
      <c r="D805" s="8"/>
      <c r="E805" s="8"/>
    </row>
    <row r="806" spans="1:5" ht="13.2" x14ac:dyDescent="0.25">
      <c r="A806" s="11"/>
      <c r="B806" s="9"/>
      <c r="C806" s="10"/>
      <c r="D806" s="8"/>
      <c r="E806" s="8"/>
    </row>
    <row r="807" spans="1:5" ht="13.2" x14ac:dyDescent="0.25">
      <c r="A807" s="11"/>
      <c r="B807" s="9"/>
      <c r="C807" s="10"/>
      <c r="D807" s="8"/>
      <c r="E807" s="8"/>
    </row>
    <row r="808" spans="1:5" ht="13.2" x14ac:dyDescent="0.25">
      <c r="A808" s="11"/>
      <c r="B808" s="9"/>
      <c r="C808" s="10"/>
      <c r="D808" s="8"/>
      <c r="E808" s="8"/>
    </row>
    <row r="809" spans="1:5" ht="13.2" x14ac:dyDescent="0.25">
      <c r="A809" s="11"/>
      <c r="B809" s="9"/>
      <c r="C809" s="10"/>
      <c r="D809" s="8"/>
      <c r="E809" s="8"/>
    </row>
    <row r="810" spans="1:5" ht="13.2" x14ac:dyDescent="0.25">
      <c r="A810" s="11"/>
      <c r="B810" s="9"/>
      <c r="C810" s="10"/>
      <c r="D810" s="8"/>
      <c r="E810" s="8"/>
    </row>
    <row r="811" spans="1:5" ht="13.2" x14ac:dyDescent="0.25">
      <c r="A811" s="11"/>
      <c r="B811" s="9"/>
      <c r="C811" s="10"/>
      <c r="D811" s="8"/>
      <c r="E811" s="8"/>
    </row>
    <row r="812" spans="1:5" ht="13.2" x14ac:dyDescent="0.25">
      <c r="A812" s="11"/>
      <c r="B812" s="9"/>
      <c r="C812" s="10"/>
      <c r="D812" s="8"/>
      <c r="E812" s="8"/>
    </row>
    <row r="813" spans="1:5" ht="13.2" x14ac:dyDescent="0.25">
      <c r="A813" s="11"/>
      <c r="B813" s="9"/>
      <c r="C813" s="10"/>
      <c r="D813" s="8"/>
      <c r="E813" s="8"/>
    </row>
    <row r="814" spans="1:5" ht="13.2" x14ac:dyDescent="0.25">
      <c r="A814" s="11"/>
      <c r="B814" s="9"/>
      <c r="C814" s="10"/>
      <c r="D814" s="8"/>
      <c r="E814" s="8"/>
    </row>
    <row r="815" spans="1:5" ht="13.2" x14ac:dyDescent="0.25">
      <c r="A815" s="11"/>
      <c r="B815" s="9"/>
      <c r="C815" s="10"/>
      <c r="D815" s="8"/>
      <c r="E815" s="8"/>
    </row>
    <row r="816" spans="1:5" ht="13.2" x14ac:dyDescent="0.25">
      <c r="A816" s="11"/>
      <c r="B816" s="9"/>
      <c r="C816" s="10"/>
      <c r="D816" s="8"/>
      <c r="E816" s="8"/>
    </row>
    <row r="817" spans="1:5" ht="13.2" x14ac:dyDescent="0.25">
      <c r="A817" s="11"/>
      <c r="B817" s="9"/>
      <c r="C817" s="10"/>
      <c r="D817" s="8"/>
      <c r="E817" s="8"/>
    </row>
    <row r="818" spans="1:5" ht="13.2" x14ac:dyDescent="0.25">
      <c r="A818" s="11"/>
      <c r="B818" s="9"/>
      <c r="C818" s="10"/>
      <c r="D818" s="8"/>
      <c r="E818" s="8"/>
    </row>
    <row r="819" spans="1:5" ht="13.2" x14ac:dyDescent="0.25">
      <c r="A819" s="11"/>
      <c r="B819" s="9"/>
      <c r="C819" s="10"/>
      <c r="D819" s="8"/>
      <c r="E819" s="8"/>
    </row>
    <row r="820" spans="1:5" ht="13.2" x14ac:dyDescent="0.25">
      <c r="A820" s="11"/>
      <c r="B820" s="9"/>
      <c r="C820" s="10"/>
      <c r="D820" s="8"/>
      <c r="E820" s="8"/>
    </row>
    <row r="821" spans="1:5" ht="13.2" x14ac:dyDescent="0.25">
      <c r="A821" s="11"/>
      <c r="B821" s="9"/>
      <c r="C821" s="10"/>
      <c r="D821" s="8"/>
      <c r="E821" s="8"/>
    </row>
    <row r="822" spans="1:5" ht="13.2" x14ac:dyDescent="0.25">
      <c r="A822" s="11"/>
      <c r="B822" s="9"/>
      <c r="C822" s="10"/>
      <c r="D822" s="8"/>
      <c r="E822" s="8"/>
    </row>
    <row r="823" spans="1:5" ht="13.2" x14ac:dyDescent="0.25">
      <c r="A823" s="11"/>
      <c r="B823" s="9"/>
      <c r="C823" s="10"/>
      <c r="D823" s="8"/>
      <c r="E823" s="8"/>
    </row>
    <row r="824" spans="1:5" ht="13.2" x14ac:dyDescent="0.25">
      <c r="A824" s="11"/>
      <c r="B824" s="9"/>
      <c r="C824" s="10"/>
      <c r="D824" s="8"/>
      <c r="E824" s="8"/>
    </row>
    <row r="825" spans="1:5" ht="13.2" x14ac:dyDescent="0.25">
      <c r="A825" s="11"/>
      <c r="B825" s="9"/>
      <c r="C825" s="10"/>
      <c r="D825" s="8"/>
      <c r="E825" s="8"/>
    </row>
    <row r="826" spans="1:5" ht="13.2" x14ac:dyDescent="0.25">
      <c r="A826" s="11"/>
      <c r="B826" s="9"/>
      <c r="C826" s="10"/>
      <c r="D826" s="8"/>
      <c r="E826" s="8"/>
    </row>
    <row r="827" spans="1:5" ht="13.2" x14ac:dyDescent="0.25">
      <c r="A827" s="11"/>
      <c r="B827" s="9"/>
      <c r="C827" s="10"/>
      <c r="D827" s="8"/>
      <c r="E827" s="8"/>
    </row>
    <row r="828" spans="1:5" ht="13.2" x14ac:dyDescent="0.25">
      <c r="A828" s="11"/>
      <c r="B828" s="9"/>
      <c r="C828" s="10"/>
      <c r="D828" s="8"/>
      <c r="E828" s="8"/>
    </row>
    <row r="829" spans="1:5" ht="13.2" x14ac:dyDescent="0.25">
      <c r="A829" s="11"/>
      <c r="B829" s="9"/>
      <c r="C829" s="10"/>
      <c r="D829" s="8"/>
      <c r="E829" s="8"/>
    </row>
    <row r="830" spans="1:5" ht="13.2" x14ac:dyDescent="0.25">
      <c r="A830" s="11"/>
      <c r="B830" s="9"/>
      <c r="C830" s="10"/>
      <c r="D830" s="8"/>
      <c r="E830" s="8"/>
    </row>
    <row r="831" spans="1:5" ht="13.2" x14ac:dyDescent="0.25">
      <c r="A831" s="11"/>
      <c r="B831" s="9"/>
      <c r="C831" s="10"/>
      <c r="D831" s="8"/>
      <c r="E831" s="8"/>
    </row>
    <row r="832" spans="1:5" ht="13.2" x14ac:dyDescent="0.25">
      <c r="A832" s="11"/>
      <c r="B832" s="9"/>
      <c r="C832" s="10"/>
      <c r="D832" s="8"/>
      <c r="E832" s="8"/>
    </row>
    <row r="833" spans="1:5" ht="13.2" x14ac:dyDescent="0.25">
      <c r="A833" s="11"/>
      <c r="B833" s="9"/>
      <c r="C833" s="10"/>
      <c r="D833" s="8"/>
      <c r="E833" s="8"/>
    </row>
    <row r="834" spans="1:5" ht="13.2" x14ac:dyDescent="0.25">
      <c r="A834" s="11"/>
      <c r="B834" s="9"/>
      <c r="C834" s="10"/>
      <c r="D834" s="8"/>
      <c r="E834" s="8"/>
    </row>
    <row r="835" spans="1:5" ht="13.2" x14ac:dyDescent="0.25">
      <c r="A835" s="11"/>
      <c r="B835" s="9"/>
      <c r="C835" s="10"/>
      <c r="D835" s="8"/>
      <c r="E835" s="8"/>
    </row>
    <row r="836" spans="1:5" ht="13.2" x14ac:dyDescent="0.25">
      <c r="A836" s="11"/>
      <c r="B836" s="9"/>
      <c r="C836" s="10"/>
      <c r="D836" s="8"/>
      <c r="E836" s="8"/>
    </row>
    <row r="837" spans="1:5" ht="13.2" x14ac:dyDescent="0.25">
      <c r="A837" s="11"/>
      <c r="B837" s="9"/>
      <c r="C837" s="10"/>
      <c r="D837" s="8"/>
      <c r="E837" s="8"/>
    </row>
    <row r="838" spans="1:5" ht="13.2" x14ac:dyDescent="0.25">
      <c r="A838" s="11"/>
      <c r="B838" s="9"/>
      <c r="C838" s="10"/>
      <c r="D838" s="8"/>
      <c r="E838" s="8"/>
    </row>
    <row r="839" spans="1:5" ht="13.2" x14ac:dyDescent="0.25">
      <c r="A839" s="11"/>
      <c r="B839" s="9"/>
      <c r="C839" s="10"/>
      <c r="D839" s="8"/>
      <c r="E839" s="8"/>
    </row>
    <row r="840" spans="1:5" ht="13.2" x14ac:dyDescent="0.25">
      <c r="A840" s="11"/>
      <c r="B840" s="9"/>
      <c r="C840" s="10"/>
      <c r="D840" s="8"/>
      <c r="E840" s="8"/>
    </row>
    <row r="841" spans="1:5" ht="13.2" x14ac:dyDescent="0.25">
      <c r="A841" s="11"/>
      <c r="B841" s="9"/>
      <c r="C841" s="10"/>
      <c r="D841" s="8"/>
      <c r="E841" s="8"/>
    </row>
    <row r="842" spans="1:5" ht="13.2" x14ac:dyDescent="0.25">
      <c r="A842" s="11"/>
      <c r="B842" s="9"/>
      <c r="C842" s="10"/>
      <c r="D842" s="8"/>
      <c r="E842" s="8"/>
    </row>
    <row r="843" spans="1:5" ht="13.2" x14ac:dyDescent="0.25">
      <c r="A843" s="11"/>
      <c r="B843" s="9"/>
      <c r="C843" s="10"/>
      <c r="D843" s="8"/>
      <c r="E843" s="8"/>
    </row>
    <row r="844" spans="1:5" ht="13.2" x14ac:dyDescent="0.25">
      <c r="A844" s="11"/>
      <c r="B844" s="9"/>
      <c r="C844" s="10"/>
      <c r="D844" s="8"/>
      <c r="E844" s="8"/>
    </row>
    <row r="845" spans="1:5" ht="13.2" x14ac:dyDescent="0.25">
      <c r="A845" s="11"/>
      <c r="B845" s="9"/>
      <c r="C845" s="10"/>
      <c r="D845" s="8"/>
      <c r="E845" s="8"/>
    </row>
    <row r="846" spans="1:5" ht="13.2" x14ac:dyDescent="0.25">
      <c r="A846" s="11"/>
      <c r="B846" s="9"/>
      <c r="C846" s="10"/>
      <c r="D846" s="8"/>
      <c r="E846" s="8"/>
    </row>
    <row r="847" spans="1:5" ht="13.2" x14ac:dyDescent="0.25">
      <c r="A847" s="11"/>
      <c r="B847" s="9"/>
      <c r="C847" s="10"/>
      <c r="D847" s="8"/>
      <c r="E847" s="8"/>
    </row>
    <row r="848" spans="1:5" ht="13.2" x14ac:dyDescent="0.25">
      <c r="A848" s="11"/>
      <c r="B848" s="9"/>
      <c r="C848" s="10"/>
      <c r="D848" s="8"/>
      <c r="E848" s="8"/>
    </row>
    <row r="849" spans="1:5" ht="13.2" x14ac:dyDescent="0.25">
      <c r="A849" s="11"/>
      <c r="B849" s="9"/>
      <c r="C849" s="10"/>
      <c r="D849" s="8"/>
      <c r="E849" s="8"/>
    </row>
    <row r="850" spans="1:5" ht="13.2" x14ac:dyDescent="0.25">
      <c r="A850" s="11"/>
      <c r="B850" s="9"/>
      <c r="C850" s="10"/>
      <c r="D850" s="8"/>
      <c r="E850" s="8"/>
    </row>
    <row r="851" spans="1:5" ht="13.2" x14ac:dyDescent="0.25">
      <c r="A851" s="11"/>
      <c r="B851" s="9"/>
      <c r="C851" s="10"/>
      <c r="D851" s="8"/>
      <c r="E851" s="8"/>
    </row>
    <row r="852" spans="1:5" ht="13.2" x14ac:dyDescent="0.25">
      <c r="A852" s="11"/>
      <c r="B852" s="9"/>
      <c r="C852" s="10"/>
      <c r="D852" s="8"/>
      <c r="E852" s="8"/>
    </row>
    <row r="853" spans="1:5" ht="13.2" x14ac:dyDescent="0.25">
      <c r="A853" s="11"/>
      <c r="B853" s="9"/>
      <c r="C853" s="10"/>
      <c r="D853" s="8"/>
      <c r="E853" s="8"/>
    </row>
    <row r="854" spans="1:5" ht="13.2" x14ac:dyDescent="0.25">
      <c r="A854" s="11"/>
      <c r="B854" s="9"/>
      <c r="C854" s="10"/>
      <c r="D854" s="8"/>
      <c r="E854" s="8"/>
    </row>
    <row r="855" spans="1:5" ht="13.2" x14ac:dyDescent="0.25">
      <c r="A855" s="11"/>
      <c r="B855" s="9"/>
      <c r="C855" s="10"/>
      <c r="D855" s="8"/>
      <c r="E855" s="8"/>
    </row>
    <row r="856" spans="1:5" ht="13.2" x14ac:dyDescent="0.25">
      <c r="A856" s="11"/>
      <c r="B856" s="9"/>
      <c r="C856" s="10"/>
      <c r="D856" s="8"/>
      <c r="E856" s="8"/>
    </row>
    <row r="857" spans="1:5" ht="13.2" x14ac:dyDescent="0.25">
      <c r="A857" s="11"/>
      <c r="B857" s="9"/>
      <c r="C857" s="10"/>
      <c r="D857" s="8"/>
      <c r="E857" s="8"/>
    </row>
    <row r="858" spans="1:5" ht="13.2" x14ac:dyDescent="0.25">
      <c r="A858" s="11"/>
      <c r="B858" s="9"/>
      <c r="C858" s="10"/>
      <c r="D858" s="8"/>
      <c r="E858" s="8"/>
    </row>
    <row r="859" spans="1:5" ht="13.2" x14ac:dyDescent="0.25">
      <c r="A859" s="11"/>
      <c r="B859" s="9"/>
      <c r="C859" s="10"/>
      <c r="D859" s="8"/>
      <c r="E859" s="8"/>
    </row>
    <row r="860" spans="1:5" ht="13.2" x14ac:dyDescent="0.25">
      <c r="A860" s="11"/>
      <c r="B860" s="9"/>
      <c r="C860" s="10"/>
      <c r="D860" s="8"/>
      <c r="E860" s="8"/>
    </row>
    <row r="861" spans="1:5" ht="13.2" x14ac:dyDescent="0.25">
      <c r="A861" s="11"/>
      <c r="B861" s="9"/>
      <c r="C861" s="10"/>
      <c r="D861" s="8"/>
      <c r="E861" s="8"/>
    </row>
    <row r="862" spans="1:5" ht="13.2" x14ac:dyDescent="0.25">
      <c r="A862" s="11"/>
      <c r="B862" s="9"/>
      <c r="C862" s="10"/>
      <c r="D862" s="8"/>
      <c r="E862" s="8"/>
    </row>
    <row r="863" spans="1:5" ht="13.2" x14ac:dyDescent="0.25">
      <c r="A863" s="11"/>
      <c r="B863" s="9"/>
      <c r="C863" s="10"/>
      <c r="D863" s="8"/>
      <c r="E863" s="8"/>
    </row>
    <row r="864" spans="1:5" ht="13.2" x14ac:dyDescent="0.25">
      <c r="A864" s="11"/>
      <c r="B864" s="9"/>
      <c r="C864" s="10"/>
      <c r="D864" s="8"/>
      <c r="E864" s="8"/>
    </row>
    <row r="865" spans="1:5" ht="13.2" x14ac:dyDescent="0.25">
      <c r="A865" s="11"/>
      <c r="B865" s="9"/>
      <c r="C865" s="10"/>
      <c r="D865" s="8"/>
      <c r="E865" s="8"/>
    </row>
    <row r="866" spans="1:5" ht="13.2" x14ac:dyDescent="0.25">
      <c r="A866" s="11"/>
      <c r="B866" s="9"/>
      <c r="C866" s="10"/>
      <c r="D866" s="8"/>
      <c r="E866" s="8"/>
    </row>
    <row r="867" spans="1:5" ht="13.2" x14ac:dyDescent="0.25">
      <c r="A867" s="11"/>
      <c r="B867" s="9"/>
      <c r="C867" s="10"/>
      <c r="D867" s="8"/>
      <c r="E867" s="8"/>
    </row>
    <row r="868" spans="1:5" ht="13.2" x14ac:dyDescent="0.25">
      <c r="A868" s="11"/>
      <c r="B868" s="9"/>
      <c r="C868" s="10"/>
      <c r="D868" s="8"/>
      <c r="E868" s="8"/>
    </row>
    <row r="869" spans="1:5" ht="13.2" x14ac:dyDescent="0.25">
      <c r="A869" s="11"/>
      <c r="B869" s="9"/>
      <c r="C869" s="10"/>
      <c r="D869" s="8"/>
      <c r="E869" s="8"/>
    </row>
    <row r="870" spans="1:5" ht="13.2" x14ac:dyDescent="0.25">
      <c r="A870" s="11"/>
      <c r="B870" s="9"/>
      <c r="C870" s="10"/>
      <c r="D870" s="8"/>
      <c r="E870" s="8"/>
    </row>
    <row r="871" spans="1:5" ht="13.2" x14ac:dyDescent="0.25">
      <c r="A871" s="11"/>
      <c r="B871" s="9"/>
      <c r="C871" s="10"/>
      <c r="D871" s="8"/>
      <c r="E871" s="8"/>
    </row>
    <row r="872" spans="1:5" ht="13.2" x14ac:dyDescent="0.25">
      <c r="A872" s="11"/>
      <c r="B872" s="9"/>
      <c r="C872" s="10"/>
      <c r="D872" s="8"/>
      <c r="E872" s="8"/>
    </row>
    <row r="873" spans="1:5" ht="13.2" x14ac:dyDescent="0.25">
      <c r="A873" s="11"/>
      <c r="B873" s="9"/>
      <c r="C873" s="10"/>
      <c r="D873" s="8"/>
      <c r="E873" s="8"/>
    </row>
    <row r="874" spans="1:5" ht="13.2" x14ac:dyDescent="0.25">
      <c r="A874" s="11"/>
      <c r="B874" s="9"/>
      <c r="C874" s="10"/>
      <c r="D874" s="8"/>
      <c r="E874" s="8"/>
    </row>
    <row r="875" spans="1:5" ht="13.2" x14ac:dyDescent="0.25">
      <c r="A875" s="11"/>
      <c r="B875" s="9"/>
      <c r="C875" s="10"/>
      <c r="D875" s="8"/>
      <c r="E875" s="8"/>
    </row>
    <row r="876" spans="1:5" ht="13.2" x14ac:dyDescent="0.25">
      <c r="A876" s="11"/>
      <c r="B876" s="9"/>
      <c r="C876" s="10"/>
      <c r="D876" s="8"/>
      <c r="E876" s="8"/>
    </row>
    <row r="877" spans="1:5" ht="13.2" x14ac:dyDescent="0.25">
      <c r="A877" s="11"/>
      <c r="B877" s="9"/>
      <c r="C877" s="10"/>
      <c r="D877" s="8"/>
      <c r="E877" s="8"/>
    </row>
    <row r="878" spans="1:5" ht="13.2" x14ac:dyDescent="0.25">
      <c r="A878" s="11"/>
      <c r="B878" s="9"/>
      <c r="C878" s="10"/>
      <c r="D878" s="8"/>
      <c r="E878" s="8"/>
    </row>
    <row r="879" spans="1:5" ht="13.2" x14ac:dyDescent="0.25">
      <c r="A879" s="11"/>
      <c r="B879" s="9"/>
      <c r="C879" s="10"/>
      <c r="D879" s="8"/>
      <c r="E879" s="8"/>
    </row>
    <row r="880" spans="1:5" ht="13.2" x14ac:dyDescent="0.25">
      <c r="A880" s="11"/>
      <c r="B880" s="9"/>
      <c r="C880" s="10"/>
      <c r="D880" s="8"/>
      <c r="E880" s="8"/>
    </row>
    <row r="881" spans="1:5" ht="13.2" x14ac:dyDescent="0.25">
      <c r="A881" s="11"/>
      <c r="B881" s="9"/>
      <c r="C881" s="10"/>
      <c r="D881" s="8"/>
      <c r="E881" s="8"/>
    </row>
    <row r="882" spans="1:5" ht="13.2" x14ac:dyDescent="0.25">
      <c r="A882" s="11"/>
      <c r="B882" s="9"/>
      <c r="C882" s="10"/>
      <c r="D882" s="8"/>
      <c r="E882" s="8"/>
    </row>
    <row r="883" spans="1:5" ht="13.2" x14ac:dyDescent="0.25">
      <c r="A883" s="11"/>
      <c r="B883" s="9"/>
      <c r="C883" s="10"/>
      <c r="D883" s="8"/>
      <c r="E883" s="8"/>
    </row>
    <row r="884" spans="1:5" ht="13.2" x14ac:dyDescent="0.25">
      <c r="A884" s="11"/>
      <c r="B884" s="9"/>
      <c r="C884" s="10"/>
      <c r="D884" s="8"/>
      <c r="E884" s="8"/>
    </row>
    <row r="885" spans="1:5" ht="13.2" x14ac:dyDescent="0.25">
      <c r="A885" s="11"/>
      <c r="B885" s="9"/>
      <c r="C885" s="10"/>
      <c r="D885" s="8"/>
      <c r="E885" s="8"/>
    </row>
    <row r="886" spans="1:5" ht="13.2" x14ac:dyDescent="0.25">
      <c r="A886" s="11"/>
      <c r="B886" s="9"/>
      <c r="C886" s="10"/>
      <c r="D886" s="8"/>
      <c r="E886" s="8"/>
    </row>
    <row r="887" spans="1:5" ht="13.2" x14ac:dyDescent="0.25">
      <c r="A887" s="11"/>
      <c r="B887" s="9"/>
      <c r="C887" s="10"/>
      <c r="D887" s="8"/>
      <c r="E887" s="8"/>
    </row>
    <row r="888" spans="1:5" ht="13.2" x14ac:dyDescent="0.25">
      <c r="A888" s="11"/>
      <c r="B888" s="9"/>
      <c r="C888" s="10"/>
      <c r="D888" s="8"/>
      <c r="E888" s="8"/>
    </row>
    <row r="889" spans="1:5" ht="13.2" x14ac:dyDescent="0.25">
      <c r="A889" s="11"/>
      <c r="B889" s="9"/>
      <c r="C889" s="10"/>
      <c r="D889" s="8"/>
      <c r="E889" s="8"/>
    </row>
    <row r="890" spans="1:5" ht="13.2" x14ac:dyDescent="0.25">
      <c r="A890" s="11"/>
      <c r="B890" s="9"/>
      <c r="C890" s="10"/>
      <c r="D890" s="8"/>
      <c r="E890" s="8"/>
    </row>
    <row r="891" spans="1:5" ht="13.2" x14ac:dyDescent="0.25">
      <c r="A891" s="11"/>
      <c r="B891" s="9"/>
      <c r="C891" s="10"/>
      <c r="D891" s="8"/>
      <c r="E891" s="8"/>
    </row>
    <row r="892" spans="1:5" ht="13.2" x14ac:dyDescent="0.25">
      <c r="A892" s="11"/>
      <c r="B892" s="9"/>
      <c r="C892" s="10"/>
      <c r="D892" s="8"/>
      <c r="E892" s="8"/>
    </row>
    <row r="893" spans="1:5" ht="13.2" x14ac:dyDescent="0.25">
      <c r="A893" s="11"/>
      <c r="B893" s="9"/>
      <c r="C893" s="10"/>
      <c r="D893" s="8"/>
      <c r="E893" s="8"/>
    </row>
    <row r="894" spans="1:5" ht="13.2" x14ac:dyDescent="0.25">
      <c r="A894" s="11"/>
      <c r="B894" s="9"/>
      <c r="C894" s="10"/>
      <c r="D894" s="8"/>
      <c r="E894" s="8"/>
    </row>
    <row r="895" spans="1:5" ht="13.2" x14ac:dyDescent="0.25">
      <c r="A895" s="11"/>
      <c r="B895" s="9"/>
      <c r="C895" s="10"/>
      <c r="D895" s="8"/>
      <c r="E895" s="8"/>
    </row>
    <row r="896" spans="1:5" ht="13.2" x14ac:dyDescent="0.25">
      <c r="A896" s="11"/>
      <c r="B896" s="9"/>
      <c r="C896" s="10"/>
      <c r="D896" s="8"/>
      <c r="E896" s="8"/>
    </row>
    <row r="897" spans="1:5" ht="13.2" x14ac:dyDescent="0.25">
      <c r="A897" s="11"/>
      <c r="B897" s="9"/>
      <c r="C897" s="10"/>
      <c r="D897" s="8"/>
      <c r="E897" s="8"/>
    </row>
    <row r="898" spans="1:5" ht="13.2" x14ac:dyDescent="0.25">
      <c r="A898" s="11"/>
      <c r="B898" s="9"/>
      <c r="C898" s="10"/>
      <c r="D898" s="8"/>
      <c r="E898" s="8"/>
    </row>
    <row r="899" spans="1:5" ht="13.2" x14ac:dyDescent="0.25">
      <c r="A899" s="11"/>
      <c r="B899" s="9"/>
      <c r="C899" s="10"/>
      <c r="D899" s="8"/>
      <c r="E899" s="8"/>
    </row>
    <row r="900" spans="1:5" ht="13.2" x14ac:dyDescent="0.25">
      <c r="A900" s="11"/>
      <c r="B900" s="9"/>
      <c r="C900" s="10"/>
      <c r="D900" s="8"/>
      <c r="E900" s="8"/>
    </row>
    <row r="901" spans="1:5" ht="13.2" x14ac:dyDescent="0.25">
      <c r="A901" s="11"/>
      <c r="B901" s="9"/>
      <c r="C901" s="10"/>
      <c r="D901" s="8"/>
      <c r="E901" s="8"/>
    </row>
    <row r="902" spans="1:5" ht="13.2" x14ac:dyDescent="0.25">
      <c r="A902" s="11"/>
      <c r="B902" s="9"/>
      <c r="C902" s="10"/>
      <c r="D902" s="8"/>
      <c r="E902" s="8"/>
    </row>
    <row r="903" spans="1:5" ht="13.2" x14ac:dyDescent="0.25">
      <c r="A903" s="11"/>
      <c r="B903" s="9"/>
      <c r="C903" s="10"/>
      <c r="D903" s="8"/>
      <c r="E903" s="8"/>
    </row>
    <row r="904" spans="1:5" ht="13.2" x14ac:dyDescent="0.25">
      <c r="A904" s="11"/>
      <c r="B904" s="9"/>
      <c r="C904" s="10"/>
      <c r="D904" s="8"/>
      <c r="E904" s="8"/>
    </row>
    <row r="905" spans="1:5" ht="13.2" x14ac:dyDescent="0.25">
      <c r="A905" s="11"/>
      <c r="B905" s="9"/>
      <c r="C905" s="10"/>
      <c r="D905" s="8"/>
      <c r="E905" s="8"/>
    </row>
    <row r="906" spans="1:5" ht="13.2" x14ac:dyDescent="0.25">
      <c r="A906" s="11"/>
      <c r="B906" s="9"/>
      <c r="C906" s="10"/>
      <c r="D906" s="8"/>
      <c r="E906" s="8"/>
    </row>
    <row r="907" spans="1:5" ht="13.2" x14ac:dyDescent="0.25">
      <c r="A907" s="11"/>
      <c r="B907" s="9"/>
      <c r="C907" s="10"/>
      <c r="D907" s="8"/>
      <c r="E907" s="8"/>
    </row>
    <row r="908" spans="1:5" ht="13.2" x14ac:dyDescent="0.25">
      <c r="A908" s="11"/>
      <c r="B908" s="9"/>
      <c r="C908" s="10"/>
      <c r="D908" s="8"/>
      <c r="E908" s="8"/>
    </row>
    <row r="909" spans="1:5" ht="13.2" x14ac:dyDescent="0.25">
      <c r="A909" s="11"/>
      <c r="B909" s="9"/>
      <c r="C909" s="10"/>
      <c r="D909" s="8"/>
      <c r="E909" s="8"/>
    </row>
    <row r="910" spans="1:5" ht="13.2" x14ac:dyDescent="0.25">
      <c r="A910" s="11"/>
      <c r="B910" s="9"/>
      <c r="C910" s="10"/>
      <c r="D910" s="8"/>
      <c r="E910" s="8"/>
    </row>
    <row r="911" spans="1:5" ht="13.2" x14ac:dyDescent="0.25">
      <c r="A911" s="11"/>
      <c r="B911" s="9"/>
      <c r="C911" s="10"/>
      <c r="D911" s="8"/>
      <c r="E911" s="8"/>
    </row>
    <row r="912" spans="1:5" ht="13.2" x14ac:dyDescent="0.25">
      <c r="A912" s="11"/>
      <c r="B912" s="9"/>
      <c r="C912" s="10"/>
      <c r="D912" s="8"/>
      <c r="E912" s="8"/>
    </row>
    <row r="913" spans="1:5" ht="13.2" x14ac:dyDescent="0.25">
      <c r="A913" s="11"/>
      <c r="B913" s="9"/>
      <c r="C913" s="10"/>
      <c r="D913" s="8"/>
      <c r="E913" s="8"/>
    </row>
    <row r="914" spans="1:5" ht="13.2" x14ac:dyDescent="0.25">
      <c r="A914" s="11"/>
      <c r="B914" s="9"/>
      <c r="C914" s="10"/>
      <c r="D914" s="8"/>
      <c r="E914" s="8"/>
    </row>
    <row r="915" spans="1:5" ht="13.2" x14ac:dyDescent="0.25">
      <c r="A915" s="11"/>
      <c r="B915" s="9"/>
      <c r="C915" s="10"/>
      <c r="D915" s="8"/>
      <c r="E915" s="8"/>
    </row>
    <row r="916" spans="1:5" ht="13.2" x14ac:dyDescent="0.25">
      <c r="A916" s="11"/>
      <c r="B916" s="9"/>
      <c r="C916" s="10"/>
      <c r="D916" s="8"/>
      <c r="E916" s="8"/>
    </row>
    <row r="917" spans="1:5" ht="13.2" x14ac:dyDescent="0.25">
      <c r="A917" s="11"/>
      <c r="B917" s="9"/>
      <c r="C917" s="10"/>
      <c r="D917" s="8"/>
      <c r="E917" s="8"/>
    </row>
    <row r="918" spans="1:5" ht="13.2" x14ac:dyDescent="0.25">
      <c r="A918" s="11"/>
      <c r="B918" s="9"/>
      <c r="C918" s="10"/>
      <c r="D918" s="8"/>
      <c r="E918" s="8"/>
    </row>
    <row r="919" spans="1:5" ht="13.2" x14ac:dyDescent="0.25">
      <c r="A919" s="11"/>
      <c r="B919" s="9"/>
      <c r="C919" s="10"/>
      <c r="D919" s="8"/>
      <c r="E919" s="8"/>
    </row>
    <row r="920" spans="1:5" ht="13.2" x14ac:dyDescent="0.25">
      <c r="A920" s="11"/>
      <c r="B920" s="9"/>
      <c r="C920" s="10"/>
      <c r="D920" s="8"/>
      <c r="E920" s="8"/>
    </row>
    <row r="921" spans="1:5" ht="13.2" x14ac:dyDescent="0.25">
      <c r="A921" s="11"/>
      <c r="B921" s="9"/>
      <c r="C921" s="10"/>
      <c r="D921" s="8"/>
      <c r="E921" s="8"/>
    </row>
    <row r="922" spans="1:5" ht="13.2" x14ac:dyDescent="0.25">
      <c r="A922" s="11"/>
      <c r="B922" s="9"/>
      <c r="C922" s="10"/>
      <c r="D922" s="8"/>
      <c r="E922" s="8"/>
    </row>
    <row r="923" spans="1:5" ht="13.2" x14ac:dyDescent="0.25">
      <c r="A923" s="11"/>
      <c r="B923" s="9"/>
      <c r="C923" s="10"/>
      <c r="D923" s="8"/>
      <c r="E923" s="8"/>
    </row>
    <row r="924" spans="1:5" ht="13.2" x14ac:dyDescent="0.25">
      <c r="A924" s="11"/>
      <c r="B924" s="9"/>
      <c r="C924" s="10"/>
      <c r="D924" s="8"/>
      <c r="E924" s="8"/>
    </row>
    <row r="925" spans="1:5" ht="13.2" x14ac:dyDescent="0.25">
      <c r="A925" s="11"/>
      <c r="B925" s="9"/>
      <c r="C925" s="10"/>
      <c r="D925" s="8"/>
      <c r="E925" s="8"/>
    </row>
    <row r="926" spans="1:5" ht="13.2" x14ac:dyDescent="0.25">
      <c r="A926" s="11"/>
      <c r="B926" s="9"/>
      <c r="C926" s="10"/>
      <c r="D926" s="8"/>
      <c r="E926" s="8"/>
    </row>
    <row r="927" spans="1:5" ht="13.2" x14ac:dyDescent="0.25">
      <c r="A927" s="11"/>
      <c r="B927" s="9"/>
      <c r="C927" s="10"/>
      <c r="D927" s="8"/>
      <c r="E927" s="8"/>
    </row>
    <row r="928" spans="1:5" ht="13.2" x14ac:dyDescent="0.25">
      <c r="A928" s="11"/>
      <c r="B928" s="9"/>
      <c r="C928" s="10"/>
      <c r="D928" s="8"/>
      <c r="E928" s="8"/>
    </row>
    <row r="929" spans="1:5" ht="13.2" x14ac:dyDescent="0.25">
      <c r="A929" s="11"/>
      <c r="B929" s="9"/>
      <c r="C929" s="10"/>
      <c r="D929" s="8"/>
      <c r="E929" s="8"/>
    </row>
    <row r="930" spans="1:5" ht="13.2" x14ac:dyDescent="0.25">
      <c r="A930" s="11"/>
      <c r="B930" s="9"/>
      <c r="C930" s="10"/>
      <c r="D930" s="8"/>
      <c r="E930" s="8"/>
    </row>
    <row r="931" spans="1:5" ht="13.2" x14ac:dyDescent="0.25">
      <c r="A931" s="11"/>
      <c r="B931" s="9"/>
      <c r="C931" s="10"/>
      <c r="D931" s="8"/>
      <c r="E931" s="8"/>
    </row>
    <row r="932" spans="1:5" ht="13.2" x14ac:dyDescent="0.25">
      <c r="A932" s="11"/>
      <c r="B932" s="9"/>
      <c r="C932" s="10"/>
      <c r="D932" s="8"/>
      <c r="E932" s="8"/>
    </row>
    <row r="933" spans="1:5" ht="13.2" x14ac:dyDescent="0.25">
      <c r="A933" s="11"/>
      <c r="B933" s="9"/>
      <c r="C933" s="10"/>
      <c r="D933" s="8"/>
      <c r="E933" s="8"/>
    </row>
    <row r="934" spans="1:5" ht="13.2" x14ac:dyDescent="0.25">
      <c r="A934" s="11"/>
      <c r="B934" s="9"/>
      <c r="C934" s="10"/>
      <c r="D934" s="8"/>
      <c r="E934" s="8"/>
    </row>
    <row r="935" spans="1:5" ht="13.2" x14ac:dyDescent="0.25">
      <c r="A935" s="11"/>
      <c r="B935" s="9"/>
      <c r="C935" s="10"/>
      <c r="D935" s="8"/>
      <c r="E935" s="8"/>
    </row>
    <row r="936" spans="1:5" ht="13.2" x14ac:dyDescent="0.25">
      <c r="A936" s="11"/>
      <c r="B936" s="9"/>
      <c r="C936" s="10"/>
      <c r="D936" s="8"/>
      <c r="E936" s="8"/>
    </row>
    <row r="937" spans="1:5" ht="13.2" x14ac:dyDescent="0.25">
      <c r="A937" s="11"/>
      <c r="B937" s="9"/>
      <c r="C937" s="10"/>
      <c r="D937" s="8"/>
      <c r="E937" s="8"/>
    </row>
    <row r="938" spans="1:5" ht="13.2" x14ac:dyDescent="0.25">
      <c r="A938" s="11"/>
      <c r="B938" s="9"/>
      <c r="C938" s="10"/>
      <c r="D938" s="8"/>
      <c r="E938" s="8"/>
    </row>
    <row r="939" spans="1:5" ht="13.2" x14ac:dyDescent="0.25">
      <c r="A939" s="11"/>
      <c r="B939" s="9"/>
      <c r="C939" s="10"/>
      <c r="D939" s="8"/>
      <c r="E939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B651-4CCB-4115-8E7A-432DAA66A767}">
  <dimension ref="A3:E225"/>
  <sheetViews>
    <sheetView workbookViewId="0">
      <selection activeCell="G184" sqref="G184"/>
    </sheetView>
  </sheetViews>
  <sheetFormatPr defaultRowHeight="13.2" x14ac:dyDescent="0.25"/>
  <cols>
    <col min="1" max="1" width="25" bestFit="1" customWidth="1"/>
    <col min="2" max="2" width="13.44140625" style="14" bestFit="1" customWidth="1"/>
    <col min="3" max="3" width="22.21875" style="14" bestFit="1" customWidth="1"/>
    <col min="4" max="4" width="11.5546875" style="14" bestFit="1" customWidth="1"/>
    <col min="5" max="5" width="8.88671875" style="14"/>
  </cols>
  <sheetData>
    <row r="3" spans="1:5" x14ac:dyDescent="0.25">
      <c r="A3" s="12" t="s">
        <v>242</v>
      </c>
      <c r="B3" s="14" t="s">
        <v>241</v>
      </c>
      <c r="C3" s="14" t="s">
        <v>240</v>
      </c>
      <c r="D3" s="14" t="s">
        <v>234</v>
      </c>
      <c r="E3" s="14" t="s">
        <v>243</v>
      </c>
    </row>
    <row r="4" spans="1:5" x14ac:dyDescent="0.25">
      <c r="A4" s="13" t="s">
        <v>10</v>
      </c>
      <c r="B4" s="15">
        <v>40</v>
      </c>
      <c r="C4" s="16">
        <v>894000</v>
      </c>
      <c r="D4" s="17">
        <v>6.4775567873057271E-2</v>
      </c>
      <c r="E4" s="14" t="str">
        <f>IF(D4&lt;=0.8,"A",IF(D4&lt;=0.95,"B","C"))</f>
        <v>A</v>
      </c>
    </row>
    <row r="5" spans="1:5" x14ac:dyDescent="0.25">
      <c r="A5" s="13" t="s">
        <v>109</v>
      </c>
      <c r="B5" s="15">
        <v>8</v>
      </c>
      <c r="C5" s="16">
        <v>361000</v>
      </c>
      <c r="D5" s="17">
        <v>9.0932145056696737E-2</v>
      </c>
      <c r="E5" s="14" t="str">
        <f t="shared" ref="E5:E68" si="0">IF(D5&lt;=0.8,"A",IF(D5&lt;=0.95,"B","C"))</f>
        <v>A</v>
      </c>
    </row>
    <row r="6" spans="1:5" x14ac:dyDescent="0.25">
      <c r="A6" s="13" t="s">
        <v>11</v>
      </c>
      <c r="B6" s="15">
        <v>14</v>
      </c>
      <c r="C6" s="16">
        <v>335000</v>
      </c>
      <c r="D6" s="17">
        <v>0.11520486903597435</v>
      </c>
      <c r="E6" s="14" t="str">
        <f t="shared" si="0"/>
        <v>A</v>
      </c>
    </row>
    <row r="7" spans="1:5" x14ac:dyDescent="0.25">
      <c r="A7" s="13" t="s">
        <v>108</v>
      </c>
      <c r="B7" s="15">
        <v>2</v>
      </c>
      <c r="C7" s="16">
        <v>260000</v>
      </c>
      <c r="D7" s="17">
        <v>0.13404340107959281</v>
      </c>
      <c r="E7" s="14" t="str">
        <f t="shared" si="0"/>
        <v>A</v>
      </c>
    </row>
    <row r="8" spans="1:5" x14ac:dyDescent="0.25">
      <c r="A8" s="13" t="s">
        <v>17</v>
      </c>
      <c r="B8" s="15">
        <v>24</v>
      </c>
      <c r="C8" s="16">
        <v>246000</v>
      </c>
      <c r="D8" s="17">
        <v>0.15186755062855486</v>
      </c>
      <c r="E8" s="14" t="str">
        <f t="shared" si="0"/>
        <v>A</v>
      </c>
    </row>
    <row r="9" spans="1:5" x14ac:dyDescent="0.25">
      <c r="A9" s="13" t="s">
        <v>34</v>
      </c>
      <c r="B9" s="15">
        <v>2</v>
      </c>
      <c r="C9" s="16">
        <v>230000</v>
      </c>
      <c r="D9" s="17">
        <v>0.16853240589790966</v>
      </c>
      <c r="E9" s="14" t="str">
        <f t="shared" si="0"/>
        <v>A</v>
      </c>
    </row>
    <row r="10" spans="1:5" x14ac:dyDescent="0.25">
      <c r="A10" s="13" t="s">
        <v>15</v>
      </c>
      <c r="B10" s="15">
        <v>9</v>
      </c>
      <c r="C10" s="16">
        <v>226000</v>
      </c>
      <c r="D10" s="17">
        <v>0.18490743759736261</v>
      </c>
      <c r="E10" s="14" t="str">
        <f t="shared" si="0"/>
        <v>A</v>
      </c>
    </row>
    <row r="11" spans="1:5" x14ac:dyDescent="0.25">
      <c r="A11" s="13" t="s">
        <v>155</v>
      </c>
      <c r="B11" s="15">
        <v>2</v>
      </c>
      <c r="C11" s="16">
        <v>224000</v>
      </c>
      <c r="D11" s="17">
        <v>0.20113755751186466</v>
      </c>
      <c r="E11" s="14" t="str">
        <f t="shared" si="0"/>
        <v>A</v>
      </c>
    </row>
    <row r="12" spans="1:5" x14ac:dyDescent="0.25">
      <c r="A12" s="13" t="s">
        <v>8</v>
      </c>
      <c r="B12" s="15">
        <v>22</v>
      </c>
      <c r="C12" s="16">
        <v>220000</v>
      </c>
      <c r="D12" s="17">
        <v>0.21707785385646489</v>
      </c>
      <c r="E12" s="14" t="str">
        <f t="shared" si="0"/>
        <v>A</v>
      </c>
    </row>
    <row r="13" spans="1:5" x14ac:dyDescent="0.25">
      <c r="A13" s="13" t="s">
        <v>21</v>
      </c>
      <c r="B13" s="15">
        <v>4</v>
      </c>
      <c r="C13" s="16">
        <v>216000</v>
      </c>
      <c r="D13" s="17">
        <v>0.23272832663116327</v>
      </c>
      <c r="E13" s="14" t="str">
        <f t="shared" si="0"/>
        <v>A</v>
      </c>
    </row>
    <row r="14" spans="1:5" x14ac:dyDescent="0.25">
      <c r="A14" s="13" t="s">
        <v>13</v>
      </c>
      <c r="B14" s="15">
        <v>5</v>
      </c>
      <c r="C14" s="16">
        <v>212000</v>
      </c>
      <c r="D14" s="17">
        <v>0.24808897583595985</v>
      </c>
      <c r="E14" s="14" t="str">
        <f t="shared" si="0"/>
        <v>A</v>
      </c>
    </row>
    <row r="15" spans="1:5" x14ac:dyDescent="0.25">
      <c r="A15" s="13" t="s">
        <v>230</v>
      </c>
      <c r="B15" s="15">
        <v>1</v>
      </c>
      <c r="C15" s="16">
        <v>180000</v>
      </c>
      <c r="D15" s="17">
        <v>0.26113103648154184</v>
      </c>
      <c r="E15" s="14" t="str">
        <f t="shared" si="0"/>
        <v>A</v>
      </c>
    </row>
    <row r="16" spans="1:5" x14ac:dyDescent="0.25">
      <c r="A16" s="13" t="s">
        <v>186</v>
      </c>
      <c r="B16" s="15">
        <v>1</v>
      </c>
      <c r="C16" s="16">
        <v>180000</v>
      </c>
      <c r="D16" s="17">
        <v>0.27417309712712384</v>
      </c>
      <c r="E16" s="14" t="str">
        <f t="shared" si="0"/>
        <v>A</v>
      </c>
    </row>
    <row r="17" spans="1:5" x14ac:dyDescent="0.25">
      <c r="A17" s="13" t="s">
        <v>222</v>
      </c>
      <c r="B17" s="15">
        <v>1</v>
      </c>
      <c r="C17" s="16">
        <v>175000</v>
      </c>
      <c r="D17" s="17">
        <v>0.28685287831032857</v>
      </c>
      <c r="E17" s="14" t="str">
        <f t="shared" si="0"/>
        <v>A</v>
      </c>
    </row>
    <row r="18" spans="1:5" x14ac:dyDescent="0.25">
      <c r="A18" s="13" t="s">
        <v>199</v>
      </c>
      <c r="B18" s="15">
        <v>1</v>
      </c>
      <c r="C18" s="16">
        <v>175000</v>
      </c>
      <c r="D18" s="17">
        <v>0.2995326594935333</v>
      </c>
      <c r="E18" s="14" t="str">
        <f t="shared" si="0"/>
        <v>A</v>
      </c>
    </row>
    <row r="19" spans="1:5" x14ac:dyDescent="0.25">
      <c r="A19" s="13" t="s">
        <v>66</v>
      </c>
      <c r="B19" s="15">
        <v>1</v>
      </c>
      <c r="C19" s="16">
        <v>175000</v>
      </c>
      <c r="D19" s="17">
        <v>0.31221244067673803</v>
      </c>
      <c r="E19" s="14" t="str">
        <f t="shared" si="0"/>
        <v>A</v>
      </c>
    </row>
    <row r="20" spans="1:5" x14ac:dyDescent="0.25">
      <c r="A20" s="13" t="s">
        <v>96</v>
      </c>
      <c r="B20" s="15">
        <v>2</v>
      </c>
      <c r="C20" s="16">
        <v>170000</v>
      </c>
      <c r="D20" s="17">
        <v>0.3245299423975655</v>
      </c>
      <c r="E20" s="14" t="str">
        <f t="shared" si="0"/>
        <v>A</v>
      </c>
    </row>
    <row r="21" spans="1:5" x14ac:dyDescent="0.25">
      <c r="A21" s="13" t="s">
        <v>185</v>
      </c>
      <c r="B21" s="15">
        <v>4</v>
      </c>
      <c r="C21" s="16">
        <v>164000</v>
      </c>
      <c r="D21" s="17">
        <v>0.33641270876354018</v>
      </c>
      <c r="E21" s="14" t="str">
        <f t="shared" si="0"/>
        <v>A</v>
      </c>
    </row>
    <row r="22" spans="1:5" x14ac:dyDescent="0.25">
      <c r="A22" s="13" t="s">
        <v>105</v>
      </c>
      <c r="B22" s="15">
        <v>1</v>
      </c>
      <c r="C22" s="16">
        <v>160000</v>
      </c>
      <c r="D22" s="17">
        <v>0.34800565155961311</v>
      </c>
      <c r="E22" s="14" t="str">
        <f t="shared" si="0"/>
        <v>A</v>
      </c>
    </row>
    <row r="23" spans="1:5" x14ac:dyDescent="0.25">
      <c r="A23" s="13" t="s">
        <v>69</v>
      </c>
      <c r="B23" s="15">
        <v>3</v>
      </c>
      <c r="C23" s="16">
        <v>157000</v>
      </c>
      <c r="D23" s="17">
        <v>0.35938122667825961</v>
      </c>
      <c r="E23" s="14" t="str">
        <f t="shared" si="0"/>
        <v>A</v>
      </c>
    </row>
    <row r="24" spans="1:5" x14ac:dyDescent="0.25">
      <c r="A24" s="13" t="s">
        <v>214</v>
      </c>
      <c r="B24" s="15">
        <v>4</v>
      </c>
      <c r="C24" s="16">
        <v>140000</v>
      </c>
      <c r="D24" s="17">
        <v>0.36952505162482341</v>
      </c>
      <c r="E24" s="14" t="str">
        <f t="shared" si="0"/>
        <v>A</v>
      </c>
    </row>
    <row r="25" spans="1:5" x14ac:dyDescent="0.25">
      <c r="A25" s="13" t="s">
        <v>160</v>
      </c>
      <c r="B25" s="15">
        <v>1</v>
      </c>
      <c r="C25" s="16">
        <v>135000</v>
      </c>
      <c r="D25" s="17">
        <v>0.37930659710900988</v>
      </c>
      <c r="E25" s="14" t="str">
        <f t="shared" si="0"/>
        <v>A</v>
      </c>
    </row>
    <row r="26" spans="1:5" x14ac:dyDescent="0.25">
      <c r="A26" s="13" t="s">
        <v>218</v>
      </c>
      <c r="B26" s="15">
        <v>1</v>
      </c>
      <c r="C26" s="16">
        <v>130000</v>
      </c>
      <c r="D26" s="17">
        <v>0.38872586313081914</v>
      </c>
      <c r="E26" s="14" t="str">
        <f t="shared" si="0"/>
        <v>A</v>
      </c>
    </row>
    <row r="27" spans="1:5" x14ac:dyDescent="0.25">
      <c r="A27" s="13" t="s">
        <v>106</v>
      </c>
      <c r="B27" s="15">
        <v>1</v>
      </c>
      <c r="C27" s="16">
        <v>125000</v>
      </c>
      <c r="D27" s="17">
        <v>0.39778284969025107</v>
      </c>
      <c r="E27" s="14" t="str">
        <f t="shared" si="0"/>
        <v>A</v>
      </c>
    </row>
    <row r="28" spans="1:5" x14ac:dyDescent="0.25">
      <c r="A28" s="13" t="s">
        <v>67</v>
      </c>
      <c r="B28" s="15">
        <v>1</v>
      </c>
      <c r="C28" s="16">
        <v>125000</v>
      </c>
      <c r="D28" s="17">
        <v>0.40683983624968301</v>
      </c>
      <c r="E28" s="14" t="str">
        <f t="shared" si="0"/>
        <v>A</v>
      </c>
    </row>
    <row r="29" spans="1:5" x14ac:dyDescent="0.25">
      <c r="A29" s="13" t="s">
        <v>216</v>
      </c>
      <c r="B29" s="15">
        <v>1</v>
      </c>
      <c r="C29" s="16">
        <v>125000</v>
      </c>
      <c r="D29" s="17">
        <v>0.41589682280911494</v>
      </c>
      <c r="E29" s="14" t="str">
        <f t="shared" si="0"/>
        <v>A</v>
      </c>
    </row>
    <row r="30" spans="1:5" x14ac:dyDescent="0.25">
      <c r="A30" s="13" t="s">
        <v>124</v>
      </c>
      <c r="B30" s="15">
        <v>2</v>
      </c>
      <c r="C30" s="16">
        <v>125000</v>
      </c>
      <c r="D30" s="17">
        <v>0.42495380936854688</v>
      </c>
      <c r="E30" s="14" t="str">
        <f t="shared" si="0"/>
        <v>A</v>
      </c>
    </row>
    <row r="31" spans="1:5" x14ac:dyDescent="0.25">
      <c r="A31" s="13" t="s">
        <v>127</v>
      </c>
      <c r="B31" s="15">
        <v>1</v>
      </c>
      <c r="C31" s="16">
        <v>122000</v>
      </c>
      <c r="D31" s="17">
        <v>0.43379342825055245</v>
      </c>
      <c r="E31" s="14" t="str">
        <f t="shared" si="0"/>
        <v>A</v>
      </c>
    </row>
    <row r="32" spans="1:5" x14ac:dyDescent="0.25">
      <c r="A32" s="13" t="s">
        <v>29</v>
      </c>
      <c r="B32" s="15">
        <v>2</v>
      </c>
      <c r="C32" s="16">
        <v>120000</v>
      </c>
      <c r="D32" s="17">
        <v>0.44248813534760717</v>
      </c>
      <c r="E32" s="14" t="str">
        <f t="shared" si="0"/>
        <v>A</v>
      </c>
    </row>
    <row r="33" spans="1:5" x14ac:dyDescent="0.25">
      <c r="A33" s="13" t="s">
        <v>31</v>
      </c>
      <c r="B33" s="15">
        <v>3</v>
      </c>
      <c r="C33" s="16">
        <v>120000</v>
      </c>
      <c r="D33" s="17">
        <v>0.45118284244466184</v>
      </c>
      <c r="E33" s="14" t="str">
        <f t="shared" si="0"/>
        <v>A</v>
      </c>
    </row>
    <row r="34" spans="1:5" x14ac:dyDescent="0.25">
      <c r="A34" s="13" t="s">
        <v>183</v>
      </c>
      <c r="B34" s="15">
        <v>3</v>
      </c>
      <c r="C34" s="16">
        <v>118500</v>
      </c>
      <c r="D34" s="17">
        <v>0.45976886570300329</v>
      </c>
      <c r="E34" s="14" t="str">
        <f t="shared" si="0"/>
        <v>A</v>
      </c>
    </row>
    <row r="35" spans="1:5" x14ac:dyDescent="0.25">
      <c r="A35" s="13" t="s">
        <v>35</v>
      </c>
      <c r="B35" s="15">
        <v>1</v>
      </c>
      <c r="C35" s="16">
        <v>115000</v>
      </c>
      <c r="D35" s="17">
        <v>0.46810129333768069</v>
      </c>
      <c r="E35" s="14" t="str">
        <f t="shared" si="0"/>
        <v>A</v>
      </c>
    </row>
    <row r="36" spans="1:5" x14ac:dyDescent="0.25">
      <c r="A36" s="13" t="s">
        <v>18</v>
      </c>
      <c r="B36" s="15">
        <v>11</v>
      </c>
      <c r="C36" s="16">
        <v>112000</v>
      </c>
      <c r="D36" s="17">
        <v>0.47621635329493173</v>
      </c>
      <c r="E36" s="14" t="str">
        <f t="shared" si="0"/>
        <v>A</v>
      </c>
    </row>
    <row r="37" spans="1:5" x14ac:dyDescent="0.25">
      <c r="A37" s="13" t="s">
        <v>36</v>
      </c>
      <c r="B37" s="15">
        <v>2</v>
      </c>
      <c r="C37" s="16">
        <v>104000</v>
      </c>
      <c r="D37" s="17">
        <v>0.48375176611237908</v>
      </c>
      <c r="E37" s="14" t="str">
        <f t="shared" si="0"/>
        <v>A</v>
      </c>
    </row>
    <row r="38" spans="1:5" x14ac:dyDescent="0.25">
      <c r="A38" s="13" t="s">
        <v>219</v>
      </c>
      <c r="B38" s="15">
        <v>4</v>
      </c>
      <c r="C38" s="16">
        <v>100000</v>
      </c>
      <c r="D38" s="17">
        <v>0.49099735535992467</v>
      </c>
      <c r="E38" s="14" t="str">
        <f t="shared" si="0"/>
        <v>A</v>
      </c>
    </row>
    <row r="39" spans="1:5" x14ac:dyDescent="0.25">
      <c r="A39" s="13" t="s">
        <v>232</v>
      </c>
      <c r="B39" s="15">
        <v>1</v>
      </c>
      <c r="C39" s="16">
        <v>100000</v>
      </c>
      <c r="D39" s="17">
        <v>0.49824294460747021</v>
      </c>
      <c r="E39" s="14" t="str">
        <f t="shared" si="0"/>
        <v>A</v>
      </c>
    </row>
    <row r="40" spans="1:5" x14ac:dyDescent="0.25">
      <c r="A40" s="13" t="s">
        <v>221</v>
      </c>
      <c r="B40" s="15">
        <v>1</v>
      </c>
      <c r="C40" s="16">
        <v>100000</v>
      </c>
      <c r="D40" s="17">
        <v>0.5054885338550158</v>
      </c>
      <c r="E40" s="14" t="str">
        <f t="shared" si="0"/>
        <v>A</v>
      </c>
    </row>
    <row r="41" spans="1:5" x14ac:dyDescent="0.25">
      <c r="A41" s="13" t="s">
        <v>42</v>
      </c>
      <c r="B41" s="15">
        <v>8</v>
      </c>
      <c r="C41" s="16">
        <v>94000</v>
      </c>
      <c r="D41" s="17">
        <v>0.51229938774770856</v>
      </c>
      <c r="E41" s="14" t="str">
        <f t="shared" si="0"/>
        <v>A</v>
      </c>
    </row>
    <row r="42" spans="1:5" x14ac:dyDescent="0.25">
      <c r="A42" s="13" t="s">
        <v>28</v>
      </c>
      <c r="B42" s="15">
        <v>3</v>
      </c>
      <c r="C42" s="16">
        <v>90000</v>
      </c>
      <c r="D42" s="17">
        <v>0.51882041807049961</v>
      </c>
      <c r="E42" s="14" t="str">
        <f t="shared" si="0"/>
        <v>A</v>
      </c>
    </row>
    <row r="43" spans="1:5" x14ac:dyDescent="0.25">
      <c r="A43" s="13" t="s">
        <v>20</v>
      </c>
      <c r="B43" s="15">
        <v>5</v>
      </c>
      <c r="C43" s="16">
        <v>90000</v>
      </c>
      <c r="D43" s="17">
        <v>0.52534144839329056</v>
      </c>
      <c r="E43" s="14" t="str">
        <f t="shared" si="0"/>
        <v>A</v>
      </c>
    </row>
    <row r="44" spans="1:5" x14ac:dyDescent="0.25">
      <c r="A44" s="13" t="s">
        <v>26</v>
      </c>
      <c r="B44" s="15">
        <v>2</v>
      </c>
      <c r="C44" s="16">
        <v>90000</v>
      </c>
      <c r="D44" s="17">
        <v>0.53186247871608161</v>
      </c>
      <c r="E44" s="14" t="str">
        <f t="shared" si="0"/>
        <v>A</v>
      </c>
    </row>
    <row r="45" spans="1:5" x14ac:dyDescent="0.25">
      <c r="A45" s="13" t="s">
        <v>38</v>
      </c>
      <c r="B45" s="15">
        <v>2</v>
      </c>
      <c r="C45" s="16">
        <v>89000</v>
      </c>
      <c r="D45" s="17">
        <v>0.53831105314639716</v>
      </c>
      <c r="E45" s="14" t="str">
        <f t="shared" si="0"/>
        <v>A</v>
      </c>
    </row>
    <row r="46" spans="1:5" x14ac:dyDescent="0.25">
      <c r="A46" s="13" t="s">
        <v>104</v>
      </c>
      <c r="B46" s="15">
        <v>2</v>
      </c>
      <c r="C46" s="16">
        <v>84000</v>
      </c>
      <c r="D46" s="17">
        <v>0.54439734811433538</v>
      </c>
      <c r="E46" s="14" t="str">
        <f t="shared" si="0"/>
        <v>A</v>
      </c>
    </row>
    <row r="47" spans="1:5" x14ac:dyDescent="0.25">
      <c r="A47" s="13" t="s">
        <v>123</v>
      </c>
      <c r="B47" s="15">
        <v>5</v>
      </c>
      <c r="C47" s="16">
        <v>84000</v>
      </c>
      <c r="D47" s="17">
        <v>0.55048364308227371</v>
      </c>
      <c r="E47" s="14" t="str">
        <f t="shared" si="0"/>
        <v>A</v>
      </c>
    </row>
    <row r="48" spans="1:5" x14ac:dyDescent="0.25">
      <c r="A48" s="13" t="s">
        <v>30</v>
      </c>
      <c r="B48" s="15">
        <v>1</v>
      </c>
      <c r="C48" s="16">
        <v>83000</v>
      </c>
      <c r="D48" s="17">
        <v>0.55649748215773642</v>
      </c>
      <c r="E48" s="14" t="str">
        <f t="shared" si="0"/>
        <v>A</v>
      </c>
    </row>
    <row r="49" spans="1:5" x14ac:dyDescent="0.25">
      <c r="A49" s="13" t="s">
        <v>179</v>
      </c>
      <c r="B49" s="15">
        <v>2</v>
      </c>
      <c r="C49" s="16">
        <v>82000</v>
      </c>
      <c r="D49" s="17">
        <v>0.56243886534072385</v>
      </c>
      <c r="E49" s="14" t="str">
        <f t="shared" si="0"/>
        <v>A</v>
      </c>
    </row>
    <row r="50" spans="1:5" x14ac:dyDescent="0.25">
      <c r="A50" s="13" t="s">
        <v>103</v>
      </c>
      <c r="B50" s="15">
        <v>7</v>
      </c>
      <c r="C50" s="16">
        <v>81000</v>
      </c>
      <c r="D50" s="17">
        <v>0.56830779263123576</v>
      </c>
      <c r="E50" s="14" t="str">
        <f t="shared" si="0"/>
        <v>A</v>
      </c>
    </row>
    <row r="51" spans="1:5" x14ac:dyDescent="0.25">
      <c r="A51" s="13" t="s">
        <v>213</v>
      </c>
      <c r="B51" s="15">
        <v>1</v>
      </c>
      <c r="C51" s="16">
        <v>80000</v>
      </c>
      <c r="D51" s="17">
        <v>0.57410426402927217</v>
      </c>
      <c r="E51" s="14" t="str">
        <f t="shared" si="0"/>
        <v>A</v>
      </c>
    </row>
    <row r="52" spans="1:5" x14ac:dyDescent="0.25">
      <c r="A52" s="13" t="s">
        <v>223</v>
      </c>
      <c r="B52" s="15">
        <v>1</v>
      </c>
      <c r="C52" s="16">
        <v>80000</v>
      </c>
      <c r="D52" s="17">
        <v>0.57990073542730858</v>
      </c>
      <c r="E52" s="14" t="str">
        <f t="shared" si="0"/>
        <v>A</v>
      </c>
    </row>
    <row r="53" spans="1:5" x14ac:dyDescent="0.25">
      <c r="A53" s="13" t="s">
        <v>159</v>
      </c>
      <c r="B53" s="15">
        <v>2</v>
      </c>
      <c r="C53" s="16">
        <v>80000</v>
      </c>
      <c r="D53" s="17">
        <v>0.5856972068253451</v>
      </c>
      <c r="E53" s="14" t="str">
        <f t="shared" si="0"/>
        <v>A</v>
      </c>
    </row>
    <row r="54" spans="1:5" x14ac:dyDescent="0.25">
      <c r="A54" s="13" t="s">
        <v>212</v>
      </c>
      <c r="B54" s="15">
        <v>1</v>
      </c>
      <c r="C54" s="16">
        <v>80000</v>
      </c>
      <c r="D54" s="17">
        <v>0.5914936782233815</v>
      </c>
      <c r="E54" s="14" t="str">
        <f t="shared" si="0"/>
        <v>A</v>
      </c>
    </row>
    <row r="55" spans="1:5" x14ac:dyDescent="0.25">
      <c r="A55" s="13" t="s">
        <v>107</v>
      </c>
      <c r="B55" s="15">
        <v>1</v>
      </c>
      <c r="C55" s="16">
        <v>80000</v>
      </c>
      <c r="D55" s="17">
        <v>0.59729014962141791</v>
      </c>
      <c r="E55" s="14" t="str">
        <f t="shared" si="0"/>
        <v>A</v>
      </c>
    </row>
    <row r="56" spans="1:5" x14ac:dyDescent="0.25">
      <c r="A56" s="13" t="s">
        <v>184</v>
      </c>
      <c r="B56" s="15">
        <v>2</v>
      </c>
      <c r="C56" s="16">
        <v>80000</v>
      </c>
      <c r="D56" s="17">
        <v>0.60308662101945443</v>
      </c>
      <c r="E56" s="14" t="str">
        <f t="shared" si="0"/>
        <v>A</v>
      </c>
    </row>
    <row r="57" spans="1:5" x14ac:dyDescent="0.25">
      <c r="A57" s="13" t="s">
        <v>90</v>
      </c>
      <c r="B57" s="15">
        <v>2</v>
      </c>
      <c r="C57" s="16">
        <v>78000</v>
      </c>
      <c r="D57" s="17">
        <v>0.60873818063253993</v>
      </c>
      <c r="E57" s="14" t="str">
        <f t="shared" si="0"/>
        <v>A</v>
      </c>
    </row>
    <row r="58" spans="1:5" x14ac:dyDescent="0.25">
      <c r="A58" s="13" t="s">
        <v>204</v>
      </c>
      <c r="B58" s="15">
        <v>1</v>
      </c>
      <c r="C58" s="16">
        <v>77500</v>
      </c>
      <c r="D58" s="17">
        <v>0.61435351229938773</v>
      </c>
      <c r="E58" s="14" t="str">
        <f t="shared" si="0"/>
        <v>A</v>
      </c>
    </row>
    <row r="59" spans="1:5" x14ac:dyDescent="0.25">
      <c r="A59" s="13" t="s">
        <v>63</v>
      </c>
      <c r="B59" s="15">
        <v>6</v>
      </c>
      <c r="C59" s="16">
        <v>76000</v>
      </c>
      <c r="D59" s="17">
        <v>0.61986016012752232</v>
      </c>
      <c r="E59" s="14" t="str">
        <f t="shared" si="0"/>
        <v>A</v>
      </c>
    </row>
    <row r="60" spans="1:5" x14ac:dyDescent="0.25">
      <c r="A60" s="13" t="s">
        <v>89</v>
      </c>
      <c r="B60" s="15">
        <v>3</v>
      </c>
      <c r="C60" s="16">
        <v>75000</v>
      </c>
      <c r="D60" s="17">
        <v>0.62529435206318151</v>
      </c>
      <c r="E60" s="14" t="str">
        <f t="shared" si="0"/>
        <v>A</v>
      </c>
    </row>
    <row r="61" spans="1:5" x14ac:dyDescent="0.25">
      <c r="A61" s="13" t="s">
        <v>32</v>
      </c>
      <c r="B61" s="15">
        <v>1</v>
      </c>
      <c r="C61" s="16">
        <v>75000</v>
      </c>
      <c r="D61" s="17">
        <v>0.63072854399884071</v>
      </c>
      <c r="E61" s="14" t="str">
        <f t="shared" si="0"/>
        <v>A</v>
      </c>
    </row>
    <row r="62" spans="1:5" x14ac:dyDescent="0.25">
      <c r="A62" s="13" t="s">
        <v>195</v>
      </c>
      <c r="B62" s="15">
        <v>5</v>
      </c>
      <c r="C62" s="16">
        <v>75000</v>
      </c>
      <c r="D62" s="17">
        <v>0.6361627359344999</v>
      </c>
      <c r="E62" s="14" t="str">
        <f t="shared" si="0"/>
        <v>A</v>
      </c>
    </row>
    <row r="63" spans="1:5" x14ac:dyDescent="0.25">
      <c r="A63" s="13" t="s">
        <v>133</v>
      </c>
      <c r="B63" s="15">
        <v>1</v>
      </c>
      <c r="C63" s="16">
        <v>75000</v>
      </c>
      <c r="D63" s="17">
        <v>0.64159692787015909</v>
      </c>
      <c r="E63" s="14" t="str">
        <f t="shared" si="0"/>
        <v>A</v>
      </c>
    </row>
    <row r="64" spans="1:5" x14ac:dyDescent="0.25">
      <c r="A64" s="13" t="s">
        <v>80</v>
      </c>
      <c r="B64" s="15">
        <v>1</v>
      </c>
      <c r="C64" s="16">
        <v>74000</v>
      </c>
      <c r="D64" s="17">
        <v>0.64695866391334278</v>
      </c>
      <c r="E64" s="14" t="str">
        <f t="shared" si="0"/>
        <v>A</v>
      </c>
    </row>
    <row r="65" spans="1:5" x14ac:dyDescent="0.25">
      <c r="A65" s="13" t="s">
        <v>146</v>
      </c>
      <c r="B65" s="15">
        <v>1</v>
      </c>
      <c r="C65" s="16">
        <v>72000</v>
      </c>
      <c r="D65" s="17">
        <v>0.65217548817157556</v>
      </c>
      <c r="E65" s="14" t="str">
        <f t="shared" si="0"/>
        <v>A</v>
      </c>
    </row>
    <row r="66" spans="1:5" x14ac:dyDescent="0.25">
      <c r="A66" s="13" t="s">
        <v>9</v>
      </c>
      <c r="B66" s="15">
        <v>2</v>
      </c>
      <c r="C66" s="16">
        <v>70000</v>
      </c>
      <c r="D66" s="17">
        <v>0.65724740064485743</v>
      </c>
      <c r="E66" s="14" t="str">
        <f t="shared" si="0"/>
        <v>A</v>
      </c>
    </row>
    <row r="67" spans="1:5" x14ac:dyDescent="0.25">
      <c r="A67" s="13" t="s">
        <v>175</v>
      </c>
      <c r="B67" s="15">
        <v>2</v>
      </c>
      <c r="C67" s="16">
        <v>70000</v>
      </c>
      <c r="D67" s="17">
        <v>0.6623193131181393</v>
      </c>
      <c r="E67" s="14" t="str">
        <f t="shared" si="0"/>
        <v>A</v>
      </c>
    </row>
    <row r="68" spans="1:5" x14ac:dyDescent="0.25">
      <c r="A68" s="13" t="s">
        <v>84</v>
      </c>
      <c r="B68" s="15">
        <v>2</v>
      </c>
      <c r="C68" s="16">
        <v>70000</v>
      </c>
      <c r="D68" s="17">
        <v>0.66739122559142128</v>
      </c>
      <c r="E68" s="14" t="str">
        <f t="shared" si="0"/>
        <v>A</v>
      </c>
    </row>
    <row r="69" spans="1:5" x14ac:dyDescent="0.25">
      <c r="A69" s="13" t="s">
        <v>126</v>
      </c>
      <c r="B69" s="15">
        <v>1</v>
      </c>
      <c r="C69" s="16">
        <v>70000</v>
      </c>
      <c r="D69" s="17">
        <v>0.67246313806470315</v>
      </c>
      <c r="E69" s="14" t="str">
        <f t="shared" ref="E69:E132" si="1">IF(D69&lt;=0.8,"A",IF(D69&lt;=0.95,"B","C"))</f>
        <v>A</v>
      </c>
    </row>
    <row r="70" spans="1:5" x14ac:dyDescent="0.25">
      <c r="A70" s="13" t="s">
        <v>45</v>
      </c>
      <c r="B70" s="15">
        <v>13</v>
      </c>
      <c r="C70" s="16">
        <v>65000</v>
      </c>
      <c r="D70" s="17">
        <v>0.67717277107560769</v>
      </c>
      <c r="E70" s="14" t="str">
        <f t="shared" si="1"/>
        <v>A</v>
      </c>
    </row>
    <row r="71" spans="1:5" x14ac:dyDescent="0.25">
      <c r="A71" s="13" t="s">
        <v>128</v>
      </c>
      <c r="B71" s="15">
        <v>1</v>
      </c>
      <c r="C71" s="16">
        <v>65000</v>
      </c>
      <c r="D71" s="17">
        <v>0.68188240408651235</v>
      </c>
      <c r="E71" s="14" t="str">
        <f t="shared" si="1"/>
        <v>A</v>
      </c>
    </row>
    <row r="72" spans="1:5" x14ac:dyDescent="0.25">
      <c r="A72" s="13" t="s">
        <v>39</v>
      </c>
      <c r="B72" s="15">
        <v>4</v>
      </c>
      <c r="C72" s="16">
        <v>64000</v>
      </c>
      <c r="D72" s="17">
        <v>0.6865195812049415</v>
      </c>
      <c r="E72" s="14" t="str">
        <f t="shared" si="1"/>
        <v>A</v>
      </c>
    </row>
    <row r="73" spans="1:5" x14ac:dyDescent="0.25">
      <c r="A73" s="13" t="s">
        <v>75</v>
      </c>
      <c r="B73" s="15">
        <v>2</v>
      </c>
      <c r="C73" s="16">
        <v>63000</v>
      </c>
      <c r="D73" s="17">
        <v>0.69108430243089525</v>
      </c>
      <c r="E73" s="14" t="str">
        <f t="shared" si="1"/>
        <v>A</v>
      </c>
    </row>
    <row r="74" spans="1:5" x14ac:dyDescent="0.25">
      <c r="A74" s="13" t="s">
        <v>60</v>
      </c>
      <c r="B74" s="15">
        <v>1</v>
      </c>
      <c r="C74" s="16">
        <v>63000</v>
      </c>
      <c r="D74" s="17">
        <v>0.69564902365684889</v>
      </c>
      <c r="E74" s="14" t="str">
        <f t="shared" si="1"/>
        <v>A</v>
      </c>
    </row>
    <row r="75" spans="1:5" x14ac:dyDescent="0.25">
      <c r="A75" s="13" t="s">
        <v>215</v>
      </c>
      <c r="B75" s="15">
        <v>1</v>
      </c>
      <c r="C75" s="16">
        <v>63000</v>
      </c>
      <c r="D75" s="17">
        <v>0.70021374488280264</v>
      </c>
      <c r="E75" s="14" t="str">
        <f t="shared" si="1"/>
        <v>A</v>
      </c>
    </row>
    <row r="76" spans="1:5" x14ac:dyDescent="0.25">
      <c r="A76" s="13" t="s">
        <v>25</v>
      </c>
      <c r="B76" s="15">
        <v>4</v>
      </c>
      <c r="C76" s="16">
        <v>60000</v>
      </c>
      <c r="D76" s="17">
        <v>0.70456109843132997</v>
      </c>
      <c r="E76" s="14" t="str">
        <f t="shared" si="1"/>
        <v>A</v>
      </c>
    </row>
    <row r="77" spans="1:5" x14ac:dyDescent="0.25">
      <c r="A77" s="13" t="s">
        <v>83</v>
      </c>
      <c r="B77" s="15">
        <v>1</v>
      </c>
      <c r="C77" s="16">
        <v>57000</v>
      </c>
      <c r="D77" s="17">
        <v>0.70869108430243088</v>
      </c>
      <c r="E77" s="14" t="str">
        <f t="shared" si="1"/>
        <v>A</v>
      </c>
    </row>
    <row r="78" spans="1:5" x14ac:dyDescent="0.25">
      <c r="A78" s="13" t="s">
        <v>79</v>
      </c>
      <c r="B78" s="15">
        <v>1</v>
      </c>
      <c r="C78" s="16">
        <v>57000</v>
      </c>
      <c r="D78" s="17">
        <v>0.71282107017353191</v>
      </c>
      <c r="E78" s="14" t="str">
        <f t="shared" si="1"/>
        <v>A</v>
      </c>
    </row>
    <row r="79" spans="1:5" x14ac:dyDescent="0.25">
      <c r="A79" s="13" t="s">
        <v>181</v>
      </c>
      <c r="B79" s="15">
        <v>1</v>
      </c>
      <c r="C79" s="16">
        <v>57000</v>
      </c>
      <c r="D79" s="17">
        <v>0.71695105604463283</v>
      </c>
      <c r="E79" s="14" t="str">
        <f t="shared" si="1"/>
        <v>A</v>
      </c>
    </row>
    <row r="80" spans="1:5" x14ac:dyDescent="0.25">
      <c r="A80" s="13" t="s">
        <v>74</v>
      </c>
      <c r="B80" s="15">
        <v>5</v>
      </c>
      <c r="C80" s="16">
        <v>55000</v>
      </c>
      <c r="D80" s="17">
        <v>0.72093613013078284</v>
      </c>
      <c r="E80" s="14" t="str">
        <f t="shared" si="1"/>
        <v>A</v>
      </c>
    </row>
    <row r="81" spans="1:5" x14ac:dyDescent="0.25">
      <c r="A81" s="13" t="s">
        <v>182</v>
      </c>
      <c r="B81" s="15">
        <v>1</v>
      </c>
      <c r="C81" s="16">
        <v>55000</v>
      </c>
      <c r="D81" s="17">
        <v>0.72492120421693296</v>
      </c>
      <c r="E81" s="14" t="str">
        <f t="shared" si="1"/>
        <v>A</v>
      </c>
    </row>
    <row r="82" spans="1:5" x14ac:dyDescent="0.25">
      <c r="A82" s="13" t="s">
        <v>51</v>
      </c>
      <c r="B82" s="15">
        <v>11</v>
      </c>
      <c r="C82" s="16">
        <v>54000</v>
      </c>
      <c r="D82" s="17">
        <v>0.72883382241060757</v>
      </c>
      <c r="E82" s="14" t="str">
        <f t="shared" si="1"/>
        <v>A</v>
      </c>
    </row>
    <row r="83" spans="1:5" x14ac:dyDescent="0.25">
      <c r="A83" s="13" t="s">
        <v>208</v>
      </c>
      <c r="B83" s="15">
        <v>1</v>
      </c>
      <c r="C83" s="16">
        <v>53000</v>
      </c>
      <c r="D83" s="17">
        <v>0.73267398471180667</v>
      </c>
      <c r="E83" s="14" t="str">
        <f t="shared" si="1"/>
        <v>A</v>
      </c>
    </row>
    <row r="84" spans="1:5" x14ac:dyDescent="0.25">
      <c r="A84" s="13" t="s">
        <v>203</v>
      </c>
      <c r="B84" s="15">
        <v>1</v>
      </c>
      <c r="C84" s="16">
        <v>53000</v>
      </c>
      <c r="D84" s="17">
        <v>0.73651414701300588</v>
      </c>
      <c r="E84" s="14" t="str">
        <f t="shared" si="1"/>
        <v>A</v>
      </c>
    </row>
    <row r="85" spans="1:5" x14ac:dyDescent="0.25">
      <c r="A85" s="13" t="s">
        <v>206</v>
      </c>
      <c r="B85" s="15">
        <v>1</v>
      </c>
      <c r="C85" s="16">
        <v>53000</v>
      </c>
      <c r="D85" s="17">
        <v>0.74035430931420498</v>
      </c>
      <c r="E85" s="14" t="str">
        <f t="shared" si="1"/>
        <v>A</v>
      </c>
    </row>
    <row r="86" spans="1:5" x14ac:dyDescent="0.25">
      <c r="A86" s="13" t="s">
        <v>98</v>
      </c>
      <c r="B86" s="15">
        <v>2</v>
      </c>
      <c r="C86" s="16">
        <v>52000</v>
      </c>
      <c r="D86" s="17">
        <v>0.74412201572292869</v>
      </c>
      <c r="E86" s="14" t="str">
        <f t="shared" si="1"/>
        <v>A</v>
      </c>
    </row>
    <row r="87" spans="1:5" x14ac:dyDescent="0.25">
      <c r="A87" s="13" t="s">
        <v>99</v>
      </c>
      <c r="B87" s="15">
        <v>2</v>
      </c>
      <c r="C87" s="16">
        <v>52000</v>
      </c>
      <c r="D87" s="17">
        <v>0.74788972213165239</v>
      </c>
      <c r="E87" s="14" t="str">
        <f t="shared" si="1"/>
        <v>A</v>
      </c>
    </row>
    <row r="88" spans="1:5" x14ac:dyDescent="0.25">
      <c r="A88" s="13" t="s">
        <v>59</v>
      </c>
      <c r="B88" s="15">
        <v>2</v>
      </c>
      <c r="C88" s="16">
        <v>50000</v>
      </c>
      <c r="D88" s="17">
        <v>0.75151251675542519</v>
      </c>
      <c r="E88" s="14" t="str">
        <f t="shared" si="1"/>
        <v>A</v>
      </c>
    </row>
    <row r="89" spans="1:5" x14ac:dyDescent="0.25">
      <c r="A89" s="13" t="s">
        <v>178</v>
      </c>
      <c r="B89" s="15">
        <v>1</v>
      </c>
      <c r="C89" s="16">
        <v>50000</v>
      </c>
      <c r="D89" s="17">
        <v>0.75513531137919787</v>
      </c>
      <c r="E89" s="14" t="str">
        <f t="shared" si="1"/>
        <v>A</v>
      </c>
    </row>
    <row r="90" spans="1:5" x14ac:dyDescent="0.25">
      <c r="A90" s="13" t="s">
        <v>65</v>
      </c>
      <c r="B90" s="15">
        <v>1</v>
      </c>
      <c r="C90" s="16">
        <v>50000</v>
      </c>
      <c r="D90" s="17">
        <v>0.75875810600297067</v>
      </c>
      <c r="E90" s="14" t="str">
        <f t="shared" si="1"/>
        <v>A</v>
      </c>
    </row>
    <row r="91" spans="1:5" x14ac:dyDescent="0.25">
      <c r="A91" s="13" t="s">
        <v>191</v>
      </c>
      <c r="B91" s="15">
        <v>1</v>
      </c>
      <c r="C91" s="16">
        <v>50000</v>
      </c>
      <c r="D91" s="17">
        <v>0.76238090062674346</v>
      </c>
      <c r="E91" s="14" t="str">
        <f t="shared" si="1"/>
        <v>A</v>
      </c>
    </row>
    <row r="92" spans="1:5" x14ac:dyDescent="0.25">
      <c r="A92" s="13" t="s">
        <v>113</v>
      </c>
      <c r="B92" s="15">
        <v>1</v>
      </c>
      <c r="C92" s="16">
        <v>50000</v>
      </c>
      <c r="D92" s="17">
        <v>0.76600369525051626</v>
      </c>
      <c r="E92" s="14" t="str">
        <f t="shared" si="1"/>
        <v>A</v>
      </c>
    </row>
    <row r="93" spans="1:5" x14ac:dyDescent="0.25">
      <c r="A93" s="13" t="s">
        <v>114</v>
      </c>
      <c r="B93" s="15">
        <v>3</v>
      </c>
      <c r="C93" s="16">
        <v>49000</v>
      </c>
      <c r="D93" s="17">
        <v>0.76955403398181355</v>
      </c>
      <c r="E93" s="14" t="str">
        <f t="shared" si="1"/>
        <v>A</v>
      </c>
    </row>
    <row r="94" spans="1:5" x14ac:dyDescent="0.25">
      <c r="A94" s="13" t="s">
        <v>61</v>
      </c>
      <c r="B94" s="15">
        <v>3</v>
      </c>
      <c r="C94" s="16">
        <v>47000</v>
      </c>
      <c r="D94" s="17">
        <v>0.77295946092816004</v>
      </c>
      <c r="E94" s="14" t="str">
        <f t="shared" si="1"/>
        <v>A</v>
      </c>
    </row>
    <row r="95" spans="1:5" x14ac:dyDescent="0.25">
      <c r="A95" s="13" t="s">
        <v>24</v>
      </c>
      <c r="B95" s="15">
        <v>3</v>
      </c>
      <c r="C95" s="16">
        <v>47000</v>
      </c>
      <c r="D95" s="17">
        <v>0.77636488787450642</v>
      </c>
      <c r="E95" s="14" t="str">
        <f t="shared" si="1"/>
        <v>A</v>
      </c>
    </row>
    <row r="96" spans="1:5" x14ac:dyDescent="0.25">
      <c r="A96" s="13" t="s">
        <v>70</v>
      </c>
      <c r="B96" s="15">
        <v>2</v>
      </c>
      <c r="C96" s="16">
        <v>45000</v>
      </c>
      <c r="D96" s="17">
        <v>0.77962540303590189</v>
      </c>
      <c r="E96" s="14" t="str">
        <f t="shared" si="1"/>
        <v>A</v>
      </c>
    </row>
    <row r="97" spans="1:5" x14ac:dyDescent="0.25">
      <c r="A97" s="13" t="s">
        <v>110</v>
      </c>
      <c r="B97" s="15">
        <v>1</v>
      </c>
      <c r="C97" s="16">
        <v>45000</v>
      </c>
      <c r="D97" s="17">
        <v>0.78288591819729736</v>
      </c>
      <c r="E97" s="14" t="str">
        <f t="shared" si="1"/>
        <v>A</v>
      </c>
    </row>
    <row r="98" spans="1:5" x14ac:dyDescent="0.25">
      <c r="A98" s="13" t="s">
        <v>194</v>
      </c>
      <c r="B98" s="15">
        <v>3</v>
      </c>
      <c r="C98" s="16">
        <v>45000</v>
      </c>
      <c r="D98" s="17">
        <v>0.78614643335869294</v>
      </c>
      <c r="E98" s="14" t="str">
        <f t="shared" si="1"/>
        <v>A</v>
      </c>
    </row>
    <row r="99" spans="1:5" x14ac:dyDescent="0.25">
      <c r="A99" s="13" t="s">
        <v>150</v>
      </c>
      <c r="B99" s="15">
        <v>1</v>
      </c>
      <c r="C99" s="16">
        <v>45000</v>
      </c>
      <c r="D99" s="17">
        <v>0.78940694852008841</v>
      </c>
      <c r="E99" s="14" t="str">
        <f t="shared" si="1"/>
        <v>A</v>
      </c>
    </row>
    <row r="100" spans="1:5" x14ac:dyDescent="0.25">
      <c r="A100" s="13" t="s">
        <v>112</v>
      </c>
      <c r="B100" s="15">
        <v>1</v>
      </c>
      <c r="C100" s="16">
        <v>45000</v>
      </c>
      <c r="D100" s="17">
        <v>0.79266746368148389</v>
      </c>
      <c r="E100" s="14" t="str">
        <f t="shared" si="1"/>
        <v>A</v>
      </c>
    </row>
    <row r="101" spans="1:5" x14ac:dyDescent="0.25">
      <c r="A101" s="13" t="s">
        <v>100</v>
      </c>
      <c r="B101" s="15">
        <v>2</v>
      </c>
      <c r="C101" s="16">
        <v>43000</v>
      </c>
      <c r="D101" s="17">
        <v>0.79578306705792845</v>
      </c>
      <c r="E101" s="14" t="str">
        <f t="shared" si="1"/>
        <v>A</v>
      </c>
    </row>
    <row r="102" spans="1:5" x14ac:dyDescent="0.25">
      <c r="A102" s="13" t="s">
        <v>176</v>
      </c>
      <c r="B102" s="15">
        <v>3</v>
      </c>
      <c r="C102" s="16">
        <v>42500</v>
      </c>
      <c r="D102" s="17">
        <v>0.79886244248813532</v>
      </c>
      <c r="E102" s="14" t="str">
        <f t="shared" si="1"/>
        <v>A</v>
      </c>
    </row>
    <row r="103" spans="1:5" x14ac:dyDescent="0.25">
      <c r="A103" s="13" t="s">
        <v>168</v>
      </c>
      <c r="B103" s="15">
        <v>1</v>
      </c>
      <c r="C103" s="16">
        <v>42000</v>
      </c>
      <c r="D103" s="17">
        <v>0.80190558997210448</v>
      </c>
      <c r="E103" s="14" t="str">
        <f t="shared" si="1"/>
        <v>B</v>
      </c>
    </row>
    <row r="104" spans="1:5" x14ac:dyDescent="0.25">
      <c r="A104" s="13" t="s">
        <v>118</v>
      </c>
      <c r="B104" s="15">
        <v>2</v>
      </c>
      <c r="C104" s="16">
        <v>42000</v>
      </c>
      <c r="D104" s="17">
        <v>0.80494873745607365</v>
      </c>
      <c r="E104" s="14" t="str">
        <f t="shared" si="1"/>
        <v>B</v>
      </c>
    </row>
    <row r="105" spans="1:5" x14ac:dyDescent="0.25">
      <c r="A105" s="13" t="s">
        <v>188</v>
      </c>
      <c r="B105" s="15">
        <v>4</v>
      </c>
      <c r="C105" s="16">
        <v>42000</v>
      </c>
      <c r="D105" s="17">
        <v>0.8079918849400427</v>
      </c>
      <c r="E105" s="14" t="str">
        <f t="shared" si="1"/>
        <v>B</v>
      </c>
    </row>
    <row r="106" spans="1:5" x14ac:dyDescent="0.25">
      <c r="A106" s="13" t="s">
        <v>62</v>
      </c>
      <c r="B106" s="15">
        <v>2</v>
      </c>
      <c r="C106" s="16">
        <v>40000</v>
      </c>
      <c r="D106" s="17">
        <v>0.81089012063906096</v>
      </c>
      <c r="E106" s="14" t="str">
        <f t="shared" si="1"/>
        <v>B</v>
      </c>
    </row>
    <row r="107" spans="1:5" x14ac:dyDescent="0.25">
      <c r="A107" s="13" t="s">
        <v>162</v>
      </c>
      <c r="B107" s="15">
        <v>1</v>
      </c>
      <c r="C107" s="16">
        <v>40000</v>
      </c>
      <c r="D107" s="17">
        <v>0.81378835633807922</v>
      </c>
      <c r="E107" s="14" t="str">
        <f t="shared" si="1"/>
        <v>B</v>
      </c>
    </row>
    <row r="108" spans="1:5" x14ac:dyDescent="0.25">
      <c r="A108" s="13" t="s">
        <v>152</v>
      </c>
      <c r="B108" s="15">
        <v>1</v>
      </c>
      <c r="C108" s="16">
        <v>37000</v>
      </c>
      <c r="D108" s="17">
        <v>0.81646922435967106</v>
      </c>
      <c r="E108" s="14" t="str">
        <f t="shared" si="1"/>
        <v>B</v>
      </c>
    </row>
    <row r="109" spans="1:5" x14ac:dyDescent="0.25">
      <c r="A109" s="13" t="s">
        <v>131</v>
      </c>
      <c r="B109" s="15">
        <v>1</v>
      </c>
      <c r="C109" s="16">
        <v>37000</v>
      </c>
      <c r="D109" s="17">
        <v>0.81915009238126291</v>
      </c>
      <c r="E109" s="14" t="str">
        <f t="shared" si="1"/>
        <v>B</v>
      </c>
    </row>
    <row r="110" spans="1:5" x14ac:dyDescent="0.25">
      <c r="A110" s="13" t="s">
        <v>163</v>
      </c>
      <c r="B110" s="15">
        <v>1</v>
      </c>
      <c r="C110" s="16">
        <v>37000</v>
      </c>
      <c r="D110" s="17">
        <v>0.82183096040285475</v>
      </c>
      <c r="E110" s="14" t="str">
        <f t="shared" si="1"/>
        <v>B</v>
      </c>
    </row>
    <row r="111" spans="1:5" x14ac:dyDescent="0.25">
      <c r="A111" s="13" t="s">
        <v>72</v>
      </c>
      <c r="B111" s="15">
        <v>1</v>
      </c>
      <c r="C111" s="16">
        <v>37000</v>
      </c>
      <c r="D111" s="17">
        <v>0.82451182842444659</v>
      </c>
      <c r="E111" s="14" t="str">
        <f t="shared" si="1"/>
        <v>B</v>
      </c>
    </row>
    <row r="112" spans="1:5" x14ac:dyDescent="0.25">
      <c r="A112" s="13" t="s">
        <v>77</v>
      </c>
      <c r="B112" s="15">
        <v>1</v>
      </c>
      <c r="C112" s="16">
        <v>36000</v>
      </c>
      <c r="D112" s="17">
        <v>0.82712024055356304</v>
      </c>
      <c r="E112" s="14" t="str">
        <f t="shared" si="1"/>
        <v>B</v>
      </c>
    </row>
    <row r="113" spans="1:5" x14ac:dyDescent="0.25">
      <c r="A113" s="13" t="s">
        <v>136</v>
      </c>
      <c r="B113" s="15">
        <v>1</v>
      </c>
      <c r="C113" s="16">
        <v>35000</v>
      </c>
      <c r="D113" s="17">
        <v>0.82965619679020397</v>
      </c>
      <c r="E113" s="14" t="str">
        <f t="shared" si="1"/>
        <v>B</v>
      </c>
    </row>
    <row r="114" spans="1:5" x14ac:dyDescent="0.25">
      <c r="A114" s="13" t="s">
        <v>158</v>
      </c>
      <c r="B114" s="15">
        <v>1</v>
      </c>
      <c r="C114" s="16">
        <v>35000</v>
      </c>
      <c r="D114" s="17">
        <v>0.83219215302684491</v>
      </c>
      <c r="E114" s="14" t="str">
        <f t="shared" si="1"/>
        <v>B</v>
      </c>
    </row>
    <row r="115" spans="1:5" x14ac:dyDescent="0.25">
      <c r="A115" s="13" t="s">
        <v>19</v>
      </c>
      <c r="B115" s="15">
        <v>1</v>
      </c>
      <c r="C115" s="16">
        <v>35000</v>
      </c>
      <c r="D115" s="17">
        <v>0.83472810926348584</v>
      </c>
      <c r="E115" s="14" t="str">
        <f t="shared" si="1"/>
        <v>B</v>
      </c>
    </row>
    <row r="116" spans="1:5" x14ac:dyDescent="0.25">
      <c r="A116" s="13" t="s">
        <v>58</v>
      </c>
      <c r="B116" s="15">
        <v>7</v>
      </c>
      <c r="C116" s="16">
        <v>35000</v>
      </c>
      <c r="D116" s="17">
        <v>0.83726406550012678</v>
      </c>
      <c r="E116" s="14" t="str">
        <f t="shared" si="1"/>
        <v>B</v>
      </c>
    </row>
    <row r="117" spans="1:5" x14ac:dyDescent="0.25">
      <c r="A117" s="13" t="s">
        <v>205</v>
      </c>
      <c r="B117" s="15">
        <v>1</v>
      </c>
      <c r="C117" s="16">
        <v>35000</v>
      </c>
      <c r="D117" s="17">
        <v>0.83980002173676771</v>
      </c>
      <c r="E117" s="14" t="str">
        <f t="shared" si="1"/>
        <v>B</v>
      </c>
    </row>
    <row r="118" spans="1:5" x14ac:dyDescent="0.25">
      <c r="A118" s="13" t="s">
        <v>173</v>
      </c>
      <c r="B118" s="15">
        <v>6</v>
      </c>
      <c r="C118" s="16">
        <v>35000</v>
      </c>
      <c r="D118" s="17">
        <v>0.84233597797340864</v>
      </c>
      <c r="E118" s="14" t="str">
        <f t="shared" si="1"/>
        <v>B</v>
      </c>
    </row>
    <row r="119" spans="1:5" x14ac:dyDescent="0.25">
      <c r="A119" s="13" t="s">
        <v>76</v>
      </c>
      <c r="B119" s="15">
        <v>1</v>
      </c>
      <c r="C119" s="16">
        <v>35000</v>
      </c>
      <c r="D119" s="17">
        <v>0.84487193421004958</v>
      </c>
      <c r="E119" s="14" t="str">
        <f t="shared" si="1"/>
        <v>B</v>
      </c>
    </row>
    <row r="120" spans="1:5" x14ac:dyDescent="0.25">
      <c r="A120" s="13" t="s">
        <v>88</v>
      </c>
      <c r="B120" s="15">
        <v>1</v>
      </c>
      <c r="C120" s="16">
        <v>35000</v>
      </c>
      <c r="D120" s="17">
        <v>0.84740789044669063</v>
      </c>
      <c r="E120" s="14" t="str">
        <f t="shared" si="1"/>
        <v>B</v>
      </c>
    </row>
    <row r="121" spans="1:5" x14ac:dyDescent="0.25">
      <c r="A121" s="13" t="s">
        <v>209</v>
      </c>
      <c r="B121" s="15">
        <v>1</v>
      </c>
      <c r="C121" s="16">
        <v>35000</v>
      </c>
      <c r="D121" s="17">
        <v>0.84994384668333156</v>
      </c>
      <c r="E121" s="14" t="str">
        <f t="shared" si="1"/>
        <v>B</v>
      </c>
    </row>
    <row r="122" spans="1:5" x14ac:dyDescent="0.25">
      <c r="A122" s="13" t="s">
        <v>198</v>
      </c>
      <c r="B122" s="15">
        <v>1</v>
      </c>
      <c r="C122" s="16">
        <v>35000</v>
      </c>
      <c r="D122" s="17">
        <v>0.8524798029199725</v>
      </c>
      <c r="E122" s="14" t="str">
        <f t="shared" si="1"/>
        <v>B</v>
      </c>
    </row>
    <row r="123" spans="1:5" x14ac:dyDescent="0.25">
      <c r="A123" s="13" t="s">
        <v>145</v>
      </c>
      <c r="B123" s="15">
        <v>1</v>
      </c>
      <c r="C123" s="16">
        <v>34000</v>
      </c>
      <c r="D123" s="17">
        <v>0.85494330326413792</v>
      </c>
      <c r="E123" s="14" t="str">
        <f t="shared" si="1"/>
        <v>B</v>
      </c>
    </row>
    <row r="124" spans="1:5" x14ac:dyDescent="0.25">
      <c r="A124" s="13" t="s">
        <v>169</v>
      </c>
      <c r="B124" s="15">
        <v>6</v>
      </c>
      <c r="C124" s="16">
        <v>34000</v>
      </c>
      <c r="D124" s="17">
        <v>0.85740680360830346</v>
      </c>
      <c r="E124" s="14" t="str">
        <f t="shared" si="1"/>
        <v>B</v>
      </c>
    </row>
    <row r="125" spans="1:5" x14ac:dyDescent="0.25">
      <c r="A125" s="13" t="s">
        <v>86</v>
      </c>
      <c r="B125" s="15">
        <v>1</v>
      </c>
      <c r="C125" s="16">
        <v>33000</v>
      </c>
      <c r="D125" s="17">
        <v>0.85979784805999349</v>
      </c>
      <c r="E125" s="14" t="str">
        <f t="shared" si="1"/>
        <v>B</v>
      </c>
    </row>
    <row r="126" spans="1:5" x14ac:dyDescent="0.25">
      <c r="A126" s="13" t="s">
        <v>157</v>
      </c>
      <c r="B126" s="15">
        <v>1</v>
      </c>
      <c r="C126" s="16">
        <v>32000</v>
      </c>
      <c r="D126" s="17">
        <v>0.862116436619208</v>
      </c>
      <c r="E126" s="14" t="str">
        <f t="shared" si="1"/>
        <v>B</v>
      </c>
    </row>
    <row r="127" spans="1:5" x14ac:dyDescent="0.25">
      <c r="A127" s="13" t="s">
        <v>151</v>
      </c>
      <c r="B127" s="15">
        <v>1</v>
      </c>
      <c r="C127" s="16">
        <v>32000</v>
      </c>
      <c r="D127" s="17">
        <v>0.86443502517842263</v>
      </c>
      <c r="E127" s="14" t="str">
        <f t="shared" si="1"/>
        <v>B</v>
      </c>
    </row>
    <row r="128" spans="1:5" x14ac:dyDescent="0.25">
      <c r="A128" s="13" t="s">
        <v>180</v>
      </c>
      <c r="B128" s="15">
        <v>1</v>
      </c>
      <c r="C128" s="16">
        <v>32000</v>
      </c>
      <c r="D128" s="17">
        <v>0.86675361373763726</v>
      </c>
      <c r="E128" s="14" t="str">
        <f t="shared" si="1"/>
        <v>B</v>
      </c>
    </row>
    <row r="129" spans="1:5" x14ac:dyDescent="0.25">
      <c r="A129" s="13" t="s">
        <v>142</v>
      </c>
      <c r="B129" s="15">
        <v>1</v>
      </c>
      <c r="C129" s="16">
        <v>32000</v>
      </c>
      <c r="D129" s="17">
        <v>0.86907220229685178</v>
      </c>
      <c r="E129" s="14" t="str">
        <f t="shared" si="1"/>
        <v>B</v>
      </c>
    </row>
    <row r="130" spans="1:5" x14ac:dyDescent="0.25">
      <c r="A130" s="13" t="s">
        <v>156</v>
      </c>
      <c r="B130" s="15">
        <v>1</v>
      </c>
      <c r="C130" s="16">
        <v>32000</v>
      </c>
      <c r="D130" s="17">
        <v>0.87139079085606641</v>
      </c>
      <c r="E130" s="14" t="str">
        <f t="shared" si="1"/>
        <v>B</v>
      </c>
    </row>
    <row r="131" spans="1:5" x14ac:dyDescent="0.25">
      <c r="A131" s="13" t="s">
        <v>143</v>
      </c>
      <c r="B131" s="15">
        <v>1</v>
      </c>
      <c r="C131" s="16">
        <v>32000</v>
      </c>
      <c r="D131" s="17">
        <v>0.87370937941528093</v>
      </c>
      <c r="E131" s="14" t="str">
        <f t="shared" si="1"/>
        <v>B</v>
      </c>
    </row>
    <row r="132" spans="1:5" x14ac:dyDescent="0.25">
      <c r="A132" s="13" t="s">
        <v>144</v>
      </c>
      <c r="B132" s="15">
        <v>1</v>
      </c>
      <c r="C132" s="16">
        <v>32000</v>
      </c>
      <c r="D132" s="17">
        <v>0.87602796797449556</v>
      </c>
      <c r="E132" s="14" t="str">
        <f t="shared" si="1"/>
        <v>B</v>
      </c>
    </row>
    <row r="133" spans="1:5" x14ac:dyDescent="0.25">
      <c r="A133" s="13" t="s">
        <v>187</v>
      </c>
      <c r="B133" s="15">
        <v>2</v>
      </c>
      <c r="C133" s="16">
        <v>32000</v>
      </c>
      <c r="D133" s="17">
        <v>0.87834655653371008</v>
      </c>
      <c r="E133" s="14" t="str">
        <f t="shared" ref="E133:E196" si="2">IF(D133&lt;=0.8,"A",IF(D133&lt;=0.95,"B","C"))</f>
        <v>B</v>
      </c>
    </row>
    <row r="134" spans="1:5" x14ac:dyDescent="0.25">
      <c r="A134" s="13" t="s">
        <v>40</v>
      </c>
      <c r="B134" s="15">
        <v>5</v>
      </c>
      <c r="C134" s="16">
        <v>31000</v>
      </c>
      <c r="D134" s="17">
        <v>0.8805926892004492</v>
      </c>
      <c r="E134" s="14" t="str">
        <f t="shared" si="2"/>
        <v>B</v>
      </c>
    </row>
    <row r="135" spans="1:5" x14ac:dyDescent="0.25">
      <c r="A135" s="13" t="s">
        <v>48</v>
      </c>
      <c r="B135" s="15">
        <v>2</v>
      </c>
      <c r="C135" s="16">
        <v>30000</v>
      </c>
      <c r="D135" s="17">
        <v>0.88276636597471292</v>
      </c>
      <c r="E135" s="14" t="str">
        <f t="shared" si="2"/>
        <v>B</v>
      </c>
    </row>
    <row r="136" spans="1:5" x14ac:dyDescent="0.25">
      <c r="A136" s="13" t="s">
        <v>71</v>
      </c>
      <c r="B136" s="15">
        <v>1</v>
      </c>
      <c r="C136" s="16">
        <v>30000</v>
      </c>
      <c r="D136" s="17">
        <v>0.88494004274897653</v>
      </c>
      <c r="E136" s="14" t="str">
        <f t="shared" si="2"/>
        <v>B</v>
      </c>
    </row>
    <row r="137" spans="1:5" x14ac:dyDescent="0.25">
      <c r="A137" s="13" t="s">
        <v>111</v>
      </c>
      <c r="B137" s="15">
        <v>2</v>
      </c>
      <c r="C137" s="16">
        <v>30000</v>
      </c>
      <c r="D137" s="17">
        <v>0.88711371952324025</v>
      </c>
      <c r="E137" s="14" t="str">
        <f t="shared" si="2"/>
        <v>B</v>
      </c>
    </row>
    <row r="138" spans="1:5" x14ac:dyDescent="0.25">
      <c r="A138" s="13" t="s">
        <v>87</v>
      </c>
      <c r="B138" s="15">
        <v>1</v>
      </c>
      <c r="C138" s="16">
        <v>30000</v>
      </c>
      <c r="D138" s="17">
        <v>0.88928739629750386</v>
      </c>
      <c r="E138" s="14" t="str">
        <f t="shared" si="2"/>
        <v>B</v>
      </c>
    </row>
    <row r="139" spans="1:5" x14ac:dyDescent="0.25">
      <c r="A139" s="13" t="s">
        <v>115</v>
      </c>
      <c r="B139" s="15">
        <v>1</v>
      </c>
      <c r="C139" s="16">
        <v>30000</v>
      </c>
      <c r="D139" s="17">
        <v>0.89146107307176758</v>
      </c>
      <c r="E139" s="14" t="str">
        <f t="shared" si="2"/>
        <v>B</v>
      </c>
    </row>
    <row r="140" spans="1:5" x14ac:dyDescent="0.25">
      <c r="A140" s="13" t="s">
        <v>139</v>
      </c>
      <c r="B140" s="15">
        <v>1</v>
      </c>
      <c r="C140" s="16">
        <v>30000</v>
      </c>
      <c r="D140" s="17">
        <v>0.8936347498460312</v>
      </c>
      <c r="E140" s="14" t="str">
        <f t="shared" si="2"/>
        <v>B</v>
      </c>
    </row>
    <row r="141" spans="1:5" x14ac:dyDescent="0.25">
      <c r="A141" s="13" t="s">
        <v>134</v>
      </c>
      <c r="B141" s="15">
        <v>2</v>
      </c>
      <c r="C141" s="16">
        <v>30000</v>
      </c>
      <c r="D141" s="17">
        <v>0.89580842662029492</v>
      </c>
      <c r="E141" s="14" t="str">
        <f t="shared" si="2"/>
        <v>B</v>
      </c>
    </row>
    <row r="142" spans="1:5" x14ac:dyDescent="0.25">
      <c r="A142" s="13" t="s">
        <v>170</v>
      </c>
      <c r="B142" s="15">
        <v>10</v>
      </c>
      <c r="C142" s="16">
        <v>30000</v>
      </c>
      <c r="D142" s="17">
        <v>0.89798210339455853</v>
      </c>
      <c r="E142" s="14" t="str">
        <f t="shared" si="2"/>
        <v>B</v>
      </c>
    </row>
    <row r="143" spans="1:5" x14ac:dyDescent="0.25">
      <c r="A143" s="13" t="s">
        <v>135</v>
      </c>
      <c r="B143" s="15">
        <v>1</v>
      </c>
      <c r="C143" s="16">
        <v>30000</v>
      </c>
      <c r="D143" s="17">
        <v>0.90015578016882225</v>
      </c>
      <c r="E143" s="14" t="str">
        <f t="shared" si="2"/>
        <v>B</v>
      </c>
    </row>
    <row r="144" spans="1:5" x14ac:dyDescent="0.25">
      <c r="A144" s="13" t="s">
        <v>22</v>
      </c>
      <c r="B144" s="15">
        <v>1</v>
      </c>
      <c r="C144" s="16">
        <v>30000</v>
      </c>
      <c r="D144" s="17">
        <v>0.90232945694308586</v>
      </c>
      <c r="E144" s="14" t="str">
        <f t="shared" si="2"/>
        <v>B</v>
      </c>
    </row>
    <row r="145" spans="1:5" x14ac:dyDescent="0.25">
      <c r="A145" s="13" t="s">
        <v>57</v>
      </c>
      <c r="B145" s="15">
        <v>4</v>
      </c>
      <c r="C145" s="16">
        <v>30000</v>
      </c>
      <c r="D145" s="17">
        <v>0.90450313371734958</v>
      </c>
      <c r="E145" s="14" t="str">
        <f t="shared" si="2"/>
        <v>B</v>
      </c>
    </row>
    <row r="146" spans="1:5" x14ac:dyDescent="0.25">
      <c r="A146" s="13" t="s">
        <v>37</v>
      </c>
      <c r="B146" s="15">
        <v>3</v>
      </c>
      <c r="C146" s="16">
        <v>29000</v>
      </c>
      <c r="D146" s="17">
        <v>0.9066043545991378</v>
      </c>
      <c r="E146" s="14" t="str">
        <f t="shared" si="2"/>
        <v>B</v>
      </c>
    </row>
    <row r="147" spans="1:5" x14ac:dyDescent="0.25">
      <c r="A147" s="13" t="s">
        <v>129</v>
      </c>
      <c r="B147" s="15">
        <v>2</v>
      </c>
      <c r="C147" s="16">
        <v>28000</v>
      </c>
      <c r="D147" s="17">
        <v>0.9086331195884505</v>
      </c>
      <c r="E147" s="14" t="str">
        <f t="shared" si="2"/>
        <v>B</v>
      </c>
    </row>
    <row r="148" spans="1:5" x14ac:dyDescent="0.25">
      <c r="A148" s="13" t="s">
        <v>231</v>
      </c>
      <c r="B148" s="15">
        <v>1</v>
      </c>
      <c r="C148" s="16">
        <v>28000</v>
      </c>
      <c r="D148" s="17">
        <v>0.91066188457776331</v>
      </c>
      <c r="E148" s="14" t="str">
        <f t="shared" si="2"/>
        <v>B</v>
      </c>
    </row>
    <row r="149" spans="1:5" x14ac:dyDescent="0.25">
      <c r="A149" s="13" t="s">
        <v>161</v>
      </c>
      <c r="B149" s="15">
        <v>1</v>
      </c>
      <c r="C149" s="16">
        <v>27000</v>
      </c>
      <c r="D149" s="17">
        <v>0.91261819367460062</v>
      </c>
      <c r="E149" s="14" t="str">
        <f t="shared" si="2"/>
        <v>B</v>
      </c>
    </row>
    <row r="150" spans="1:5" x14ac:dyDescent="0.25">
      <c r="A150" s="13" t="s">
        <v>82</v>
      </c>
      <c r="B150" s="15">
        <v>1</v>
      </c>
      <c r="C150" s="16">
        <v>27000</v>
      </c>
      <c r="D150" s="17">
        <v>0.91457450277143792</v>
      </c>
      <c r="E150" s="14" t="str">
        <f t="shared" si="2"/>
        <v>B</v>
      </c>
    </row>
    <row r="151" spans="1:5" x14ac:dyDescent="0.25">
      <c r="A151" s="13" t="s">
        <v>97</v>
      </c>
      <c r="B151" s="15">
        <v>1</v>
      </c>
      <c r="C151" s="16">
        <v>26000</v>
      </c>
      <c r="D151" s="17">
        <v>0.91645835597579972</v>
      </c>
      <c r="E151" s="14" t="str">
        <f t="shared" si="2"/>
        <v>B</v>
      </c>
    </row>
    <row r="152" spans="1:5" x14ac:dyDescent="0.25">
      <c r="A152" s="13" t="s">
        <v>116</v>
      </c>
      <c r="B152" s="15">
        <v>1</v>
      </c>
      <c r="C152" s="16">
        <v>25000</v>
      </c>
      <c r="D152" s="17">
        <v>0.91826975328768612</v>
      </c>
      <c r="E152" s="14" t="str">
        <f t="shared" si="2"/>
        <v>B</v>
      </c>
    </row>
    <row r="153" spans="1:5" x14ac:dyDescent="0.25">
      <c r="A153" s="13" t="s">
        <v>226</v>
      </c>
      <c r="B153" s="15">
        <v>1</v>
      </c>
      <c r="C153" s="16">
        <v>25000</v>
      </c>
      <c r="D153" s="17">
        <v>0.92008115059957252</v>
      </c>
      <c r="E153" s="14" t="str">
        <f t="shared" si="2"/>
        <v>B</v>
      </c>
    </row>
    <row r="154" spans="1:5" x14ac:dyDescent="0.25">
      <c r="A154" s="13" t="s">
        <v>132</v>
      </c>
      <c r="B154" s="15">
        <v>1</v>
      </c>
      <c r="C154" s="16">
        <v>25000</v>
      </c>
      <c r="D154" s="17">
        <v>0.92189254791145891</v>
      </c>
      <c r="E154" s="14" t="str">
        <f t="shared" si="2"/>
        <v>B</v>
      </c>
    </row>
    <row r="155" spans="1:5" x14ac:dyDescent="0.25">
      <c r="A155" s="13" t="s">
        <v>122</v>
      </c>
      <c r="B155" s="15">
        <v>1</v>
      </c>
      <c r="C155" s="16">
        <v>25000</v>
      </c>
      <c r="D155" s="17">
        <v>0.92370394522334531</v>
      </c>
      <c r="E155" s="14" t="str">
        <f t="shared" si="2"/>
        <v>B</v>
      </c>
    </row>
    <row r="156" spans="1:5" x14ac:dyDescent="0.25">
      <c r="A156" s="13" t="s">
        <v>64</v>
      </c>
      <c r="B156" s="15">
        <v>1</v>
      </c>
      <c r="C156" s="16">
        <v>25000</v>
      </c>
      <c r="D156" s="17">
        <v>0.92551534253523171</v>
      </c>
      <c r="E156" s="14" t="str">
        <f t="shared" si="2"/>
        <v>B</v>
      </c>
    </row>
    <row r="157" spans="1:5" x14ac:dyDescent="0.25">
      <c r="A157" s="13" t="s">
        <v>197</v>
      </c>
      <c r="B157" s="15">
        <v>1</v>
      </c>
      <c r="C157" s="16">
        <v>25000</v>
      </c>
      <c r="D157" s="17">
        <v>0.92732673984711811</v>
      </c>
      <c r="E157" s="14" t="str">
        <f t="shared" si="2"/>
        <v>B</v>
      </c>
    </row>
    <row r="158" spans="1:5" x14ac:dyDescent="0.25">
      <c r="A158" s="13" t="s">
        <v>177</v>
      </c>
      <c r="B158" s="15">
        <v>1</v>
      </c>
      <c r="C158" s="16">
        <v>25000</v>
      </c>
      <c r="D158" s="17">
        <v>0.92913813715900451</v>
      </c>
      <c r="E158" s="14" t="str">
        <f t="shared" si="2"/>
        <v>B</v>
      </c>
    </row>
    <row r="159" spans="1:5" x14ac:dyDescent="0.25">
      <c r="A159" s="13" t="s">
        <v>130</v>
      </c>
      <c r="B159" s="15">
        <v>1</v>
      </c>
      <c r="C159" s="16">
        <v>25000</v>
      </c>
      <c r="D159" s="17">
        <v>0.93094953447089079</v>
      </c>
      <c r="E159" s="14" t="str">
        <f t="shared" si="2"/>
        <v>B</v>
      </c>
    </row>
    <row r="160" spans="1:5" x14ac:dyDescent="0.25">
      <c r="A160" s="13" t="s">
        <v>196</v>
      </c>
      <c r="B160" s="15">
        <v>1</v>
      </c>
      <c r="C160" s="16">
        <v>25000</v>
      </c>
      <c r="D160" s="17">
        <v>0.93276093178277719</v>
      </c>
      <c r="E160" s="14" t="str">
        <f t="shared" si="2"/>
        <v>B</v>
      </c>
    </row>
    <row r="161" spans="1:5" x14ac:dyDescent="0.25">
      <c r="A161" s="13" t="s">
        <v>91</v>
      </c>
      <c r="B161" s="15">
        <v>2</v>
      </c>
      <c r="C161" s="16">
        <v>24000</v>
      </c>
      <c r="D161" s="17">
        <v>0.93449987320218819</v>
      </c>
      <c r="E161" s="14" t="str">
        <f t="shared" si="2"/>
        <v>B</v>
      </c>
    </row>
    <row r="162" spans="1:5" x14ac:dyDescent="0.25">
      <c r="A162" s="13" t="s">
        <v>94</v>
      </c>
      <c r="B162" s="15">
        <v>2</v>
      </c>
      <c r="C162" s="16">
        <v>24000</v>
      </c>
      <c r="D162" s="17">
        <v>0.93623881462159908</v>
      </c>
      <c r="E162" s="14" t="str">
        <f t="shared" si="2"/>
        <v>B</v>
      </c>
    </row>
    <row r="163" spans="1:5" x14ac:dyDescent="0.25">
      <c r="A163" s="13" t="s">
        <v>47</v>
      </c>
      <c r="B163" s="15">
        <v>3</v>
      </c>
      <c r="C163" s="16">
        <v>24000</v>
      </c>
      <c r="D163" s="17">
        <v>0.93797775604101008</v>
      </c>
      <c r="E163" s="14" t="str">
        <f t="shared" si="2"/>
        <v>B</v>
      </c>
    </row>
    <row r="164" spans="1:5" x14ac:dyDescent="0.25">
      <c r="A164" s="13" t="s">
        <v>33</v>
      </c>
      <c r="B164" s="15">
        <v>2</v>
      </c>
      <c r="C164" s="16">
        <v>22000</v>
      </c>
      <c r="D164" s="17">
        <v>0.93957178567547006</v>
      </c>
      <c r="E164" s="14" t="str">
        <f t="shared" si="2"/>
        <v>B</v>
      </c>
    </row>
    <row r="165" spans="1:5" x14ac:dyDescent="0.25">
      <c r="A165" s="13" t="s">
        <v>207</v>
      </c>
      <c r="B165" s="15">
        <v>1</v>
      </c>
      <c r="C165" s="16">
        <v>22000</v>
      </c>
      <c r="D165" s="17">
        <v>0.94116581530993004</v>
      </c>
      <c r="E165" s="14" t="str">
        <f t="shared" si="2"/>
        <v>B</v>
      </c>
    </row>
    <row r="166" spans="1:5" x14ac:dyDescent="0.25">
      <c r="A166" s="13" t="s">
        <v>54</v>
      </c>
      <c r="B166" s="15">
        <v>2</v>
      </c>
      <c r="C166" s="16">
        <v>22000</v>
      </c>
      <c r="D166" s="17">
        <v>0.94275984494439014</v>
      </c>
      <c r="E166" s="14" t="str">
        <f t="shared" si="2"/>
        <v>B</v>
      </c>
    </row>
    <row r="167" spans="1:5" x14ac:dyDescent="0.25">
      <c r="A167" s="13" t="s">
        <v>224</v>
      </c>
      <c r="B167" s="15">
        <v>1</v>
      </c>
      <c r="C167" s="16">
        <v>20000</v>
      </c>
      <c r="D167" s="17">
        <v>0.94420896279389921</v>
      </c>
      <c r="E167" s="14" t="str">
        <f t="shared" si="2"/>
        <v>B</v>
      </c>
    </row>
    <row r="168" spans="1:5" x14ac:dyDescent="0.25">
      <c r="A168" s="13" t="s">
        <v>192</v>
      </c>
      <c r="B168" s="15">
        <v>1</v>
      </c>
      <c r="C168" s="16">
        <v>20000</v>
      </c>
      <c r="D168" s="17">
        <v>0.94565808064340828</v>
      </c>
      <c r="E168" s="14" t="str">
        <f t="shared" si="2"/>
        <v>B</v>
      </c>
    </row>
    <row r="169" spans="1:5" x14ac:dyDescent="0.25">
      <c r="A169" s="13" t="s">
        <v>189</v>
      </c>
      <c r="B169" s="15">
        <v>2</v>
      </c>
      <c r="C169" s="16">
        <v>20000</v>
      </c>
      <c r="D169" s="17">
        <v>0.94710719849291747</v>
      </c>
      <c r="E169" s="14" t="str">
        <f t="shared" si="2"/>
        <v>B</v>
      </c>
    </row>
    <row r="170" spans="1:5" x14ac:dyDescent="0.25">
      <c r="A170" s="13" t="s">
        <v>154</v>
      </c>
      <c r="B170" s="15">
        <v>1</v>
      </c>
      <c r="C170" s="16">
        <v>20000</v>
      </c>
      <c r="D170" s="17">
        <v>0.94855631634242654</v>
      </c>
      <c r="E170" s="14" t="str">
        <f t="shared" si="2"/>
        <v>B</v>
      </c>
    </row>
    <row r="171" spans="1:5" x14ac:dyDescent="0.25">
      <c r="A171" s="13" t="s">
        <v>44</v>
      </c>
      <c r="B171" s="15">
        <v>2</v>
      </c>
      <c r="C171" s="16">
        <v>20000</v>
      </c>
      <c r="D171" s="17">
        <v>0.95000543419193562</v>
      </c>
      <c r="E171" s="14" t="str">
        <f t="shared" si="2"/>
        <v>C</v>
      </c>
    </row>
    <row r="172" spans="1:5" x14ac:dyDescent="0.25">
      <c r="A172" s="13" t="s">
        <v>171</v>
      </c>
      <c r="B172" s="15">
        <v>1</v>
      </c>
      <c r="C172" s="16">
        <v>20000</v>
      </c>
      <c r="D172" s="17">
        <v>0.9514545520414448</v>
      </c>
      <c r="E172" s="14" t="str">
        <f t="shared" si="2"/>
        <v>C</v>
      </c>
    </row>
    <row r="173" spans="1:5" x14ac:dyDescent="0.25">
      <c r="A173" s="13" t="s">
        <v>166</v>
      </c>
      <c r="B173" s="15">
        <v>1</v>
      </c>
      <c r="C173" s="16">
        <v>20000</v>
      </c>
      <c r="D173" s="17">
        <v>0.95290366989095387</v>
      </c>
      <c r="E173" s="14" t="str">
        <f t="shared" si="2"/>
        <v>C</v>
      </c>
    </row>
    <row r="174" spans="1:5" x14ac:dyDescent="0.25">
      <c r="A174" s="13" t="s">
        <v>167</v>
      </c>
      <c r="B174" s="15">
        <v>2</v>
      </c>
      <c r="C174" s="16">
        <v>20000</v>
      </c>
      <c r="D174" s="17">
        <v>0.95435278774046295</v>
      </c>
      <c r="E174" s="14" t="str">
        <f t="shared" si="2"/>
        <v>C</v>
      </c>
    </row>
    <row r="175" spans="1:5" x14ac:dyDescent="0.25">
      <c r="A175" s="13" t="s">
        <v>229</v>
      </c>
      <c r="B175" s="15">
        <v>1</v>
      </c>
      <c r="C175" s="16">
        <v>20000</v>
      </c>
      <c r="D175" s="17">
        <v>0.95580190558997213</v>
      </c>
      <c r="E175" s="14" t="str">
        <f t="shared" si="2"/>
        <v>C</v>
      </c>
    </row>
    <row r="176" spans="1:5" x14ac:dyDescent="0.25">
      <c r="A176" s="13" t="s">
        <v>193</v>
      </c>
      <c r="B176" s="15">
        <v>1</v>
      </c>
      <c r="C176" s="16">
        <v>17000</v>
      </c>
      <c r="D176" s="17">
        <v>0.9570336557620549</v>
      </c>
      <c r="E176" s="14" t="str">
        <f t="shared" si="2"/>
        <v>C</v>
      </c>
    </row>
    <row r="177" spans="1:5" x14ac:dyDescent="0.25">
      <c r="A177" s="13" t="s">
        <v>121</v>
      </c>
      <c r="B177" s="15">
        <v>1</v>
      </c>
      <c r="C177" s="16">
        <v>17000</v>
      </c>
      <c r="D177" s="17">
        <v>0.95826540593413756</v>
      </c>
      <c r="E177" s="14" t="str">
        <f t="shared" si="2"/>
        <v>C</v>
      </c>
    </row>
    <row r="178" spans="1:5" x14ac:dyDescent="0.25">
      <c r="A178" s="13" t="s">
        <v>165</v>
      </c>
      <c r="B178" s="15">
        <v>1</v>
      </c>
      <c r="C178" s="16">
        <v>17000</v>
      </c>
      <c r="D178" s="17">
        <v>0.95949715610622033</v>
      </c>
      <c r="E178" s="14" t="str">
        <f t="shared" si="2"/>
        <v>C</v>
      </c>
    </row>
    <row r="179" spans="1:5" x14ac:dyDescent="0.25">
      <c r="A179" s="13" t="s">
        <v>27</v>
      </c>
      <c r="B179" s="15">
        <v>1</v>
      </c>
      <c r="C179" s="16">
        <v>17000</v>
      </c>
      <c r="D179" s="17">
        <v>0.9607289062783031</v>
      </c>
      <c r="E179" s="14" t="str">
        <f t="shared" si="2"/>
        <v>C</v>
      </c>
    </row>
    <row r="180" spans="1:5" x14ac:dyDescent="0.25">
      <c r="A180" s="13" t="s">
        <v>101</v>
      </c>
      <c r="B180" s="15">
        <v>1</v>
      </c>
      <c r="C180" s="16">
        <v>17000</v>
      </c>
      <c r="D180" s="17">
        <v>0.96196065645038586</v>
      </c>
      <c r="E180" s="14" t="str">
        <f t="shared" si="2"/>
        <v>C</v>
      </c>
    </row>
    <row r="181" spans="1:5" x14ac:dyDescent="0.25">
      <c r="A181" s="13" t="s">
        <v>200</v>
      </c>
      <c r="B181" s="15">
        <v>2</v>
      </c>
      <c r="C181" s="16">
        <v>17000</v>
      </c>
      <c r="D181" s="17">
        <v>0.96319240662246852</v>
      </c>
      <c r="E181" s="14" t="str">
        <f t="shared" si="2"/>
        <v>C</v>
      </c>
    </row>
    <row r="182" spans="1:5" x14ac:dyDescent="0.25">
      <c r="A182" s="13" t="s">
        <v>120</v>
      </c>
      <c r="B182" s="15">
        <v>1</v>
      </c>
      <c r="C182" s="16">
        <v>17000</v>
      </c>
      <c r="D182" s="17">
        <v>0.96442415679455129</v>
      </c>
      <c r="E182" s="14" t="str">
        <f t="shared" si="2"/>
        <v>C</v>
      </c>
    </row>
    <row r="183" spans="1:5" x14ac:dyDescent="0.25">
      <c r="A183" s="13" t="s">
        <v>102</v>
      </c>
      <c r="B183" s="15">
        <v>1</v>
      </c>
      <c r="C183" s="16">
        <v>17000</v>
      </c>
      <c r="D183" s="17">
        <v>0.96565590696663406</v>
      </c>
      <c r="E183" s="14" t="str">
        <f t="shared" si="2"/>
        <v>C</v>
      </c>
    </row>
    <row r="184" spans="1:5" x14ac:dyDescent="0.25">
      <c r="A184" s="13" t="s">
        <v>211</v>
      </c>
      <c r="B184" s="15">
        <v>1</v>
      </c>
      <c r="C184" s="16">
        <v>17000</v>
      </c>
      <c r="D184" s="17">
        <v>0.96688765713871683</v>
      </c>
      <c r="E184" s="14" t="str">
        <f t="shared" si="2"/>
        <v>C</v>
      </c>
    </row>
    <row r="185" spans="1:5" x14ac:dyDescent="0.25">
      <c r="A185" s="13" t="s">
        <v>78</v>
      </c>
      <c r="B185" s="15">
        <v>1</v>
      </c>
      <c r="C185" s="16">
        <v>15000</v>
      </c>
      <c r="D185" s="17">
        <v>0.96797449552584869</v>
      </c>
      <c r="E185" s="14" t="str">
        <f t="shared" si="2"/>
        <v>C</v>
      </c>
    </row>
    <row r="186" spans="1:5" x14ac:dyDescent="0.25">
      <c r="A186" s="13" t="s">
        <v>153</v>
      </c>
      <c r="B186" s="15">
        <v>1</v>
      </c>
      <c r="C186" s="16">
        <v>15000</v>
      </c>
      <c r="D186" s="17">
        <v>0.96906133391298044</v>
      </c>
      <c r="E186" s="14" t="str">
        <f t="shared" si="2"/>
        <v>C</v>
      </c>
    </row>
    <row r="187" spans="1:5" x14ac:dyDescent="0.25">
      <c r="A187" s="13" t="s">
        <v>81</v>
      </c>
      <c r="B187" s="15">
        <v>1</v>
      </c>
      <c r="C187" s="16">
        <v>15000</v>
      </c>
      <c r="D187" s="17">
        <v>0.9701481723001123</v>
      </c>
      <c r="E187" s="14" t="str">
        <f t="shared" si="2"/>
        <v>C</v>
      </c>
    </row>
    <row r="188" spans="1:5" x14ac:dyDescent="0.25">
      <c r="A188" s="13" t="s">
        <v>210</v>
      </c>
      <c r="B188" s="15">
        <v>1</v>
      </c>
      <c r="C188" s="16">
        <v>15000</v>
      </c>
      <c r="D188" s="17">
        <v>0.97123501068724416</v>
      </c>
      <c r="E188" s="14" t="str">
        <f t="shared" si="2"/>
        <v>C</v>
      </c>
    </row>
    <row r="189" spans="1:5" x14ac:dyDescent="0.25">
      <c r="A189" s="13" t="s">
        <v>55</v>
      </c>
      <c r="B189" s="15">
        <v>1</v>
      </c>
      <c r="C189" s="16">
        <v>15000</v>
      </c>
      <c r="D189" s="17">
        <v>0.97232184907437602</v>
      </c>
      <c r="E189" s="14" t="str">
        <f t="shared" si="2"/>
        <v>C</v>
      </c>
    </row>
    <row r="190" spans="1:5" x14ac:dyDescent="0.25">
      <c r="A190" s="13" t="s">
        <v>227</v>
      </c>
      <c r="B190" s="15">
        <v>1</v>
      </c>
      <c r="C190" s="16">
        <v>15000</v>
      </c>
      <c r="D190" s="17">
        <v>0.97340868746150777</v>
      </c>
      <c r="E190" s="14" t="str">
        <f t="shared" si="2"/>
        <v>C</v>
      </c>
    </row>
    <row r="191" spans="1:5" x14ac:dyDescent="0.25">
      <c r="A191" s="13" t="s">
        <v>119</v>
      </c>
      <c r="B191" s="15">
        <v>1</v>
      </c>
      <c r="C191" s="16">
        <v>15000</v>
      </c>
      <c r="D191" s="17">
        <v>0.97449552584863963</v>
      </c>
      <c r="E191" s="14" t="str">
        <f t="shared" si="2"/>
        <v>C</v>
      </c>
    </row>
    <row r="192" spans="1:5" x14ac:dyDescent="0.25">
      <c r="A192" s="13" t="s">
        <v>148</v>
      </c>
      <c r="B192" s="15">
        <v>1</v>
      </c>
      <c r="C192" s="16">
        <v>15000</v>
      </c>
      <c r="D192" s="17">
        <v>0.97558236423577149</v>
      </c>
      <c r="E192" s="14" t="str">
        <f t="shared" si="2"/>
        <v>C</v>
      </c>
    </row>
    <row r="193" spans="1:5" x14ac:dyDescent="0.25">
      <c r="A193" s="13" t="s">
        <v>68</v>
      </c>
      <c r="B193" s="15">
        <v>1</v>
      </c>
      <c r="C193" s="16">
        <v>15000</v>
      </c>
      <c r="D193" s="17">
        <v>0.97666920262290335</v>
      </c>
      <c r="E193" s="14" t="str">
        <f t="shared" si="2"/>
        <v>C</v>
      </c>
    </row>
    <row r="194" spans="1:5" x14ac:dyDescent="0.25">
      <c r="A194" s="13" t="s">
        <v>23</v>
      </c>
      <c r="B194" s="15">
        <v>1</v>
      </c>
      <c r="C194" s="16">
        <v>15000</v>
      </c>
      <c r="D194" s="17">
        <v>0.9777560410100351</v>
      </c>
      <c r="E194" s="14" t="str">
        <f t="shared" si="2"/>
        <v>C</v>
      </c>
    </row>
    <row r="195" spans="1:5" x14ac:dyDescent="0.25">
      <c r="A195" s="13" t="s">
        <v>147</v>
      </c>
      <c r="B195" s="15">
        <v>1</v>
      </c>
      <c r="C195" s="16">
        <v>15000</v>
      </c>
      <c r="D195" s="17">
        <v>0.97884287939716697</v>
      </c>
      <c r="E195" s="14" t="str">
        <f t="shared" si="2"/>
        <v>C</v>
      </c>
    </row>
    <row r="196" spans="1:5" x14ac:dyDescent="0.25">
      <c r="A196" s="13" t="s">
        <v>46</v>
      </c>
      <c r="B196" s="15">
        <v>2</v>
      </c>
      <c r="C196" s="16">
        <v>14000</v>
      </c>
      <c r="D196" s="17">
        <v>0.97985726189182332</v>
      </c>
      <c r="E196" s="14" t="str">
        <f t="shared" si="2"/>
        <v>C</v>
      </c>
    </row>
    <row r="197" spans="1:5" x14ac:dyDescent="0.25">
      <c r="A197" s="13" t="s">
        <v>73</v>
      </c>
      <c r="B197" s="15">
        <v>1</v>
      </c>
      <c r="C197" s="16">
        <v>13000</v>
      </c>
      <c r="D197" s="17">
        <v>0.98079918849400427</v>
      </c>
      <c r="E197" s="14" t="str">
        <f t="shared" ref="E197:E225" si="3">IF(D197&lt;=0.8,"A",IF(D197&lt;=0.95,"B","C"))</f>
        <v>C</v>
      </c>
    </row>
    <row r="198" spans="1:5" x14ac:dyDescent="0.25">
      <c r="A198" s="13" t="s">
        <v>141</v>
      </c>
      <c r="B198" s="15">
        <v>1</v>
      </c>
      <c r="C198" s="16">
        <v>12000</v>
      </c>
      <c r="D198" s="17">
        <v>0.98166865920370971</v>
      </c>
      <c r="E198" s="14" t="str">
        <f t="shared" si="3"/>
        <v>C</v>
      </c>
    </row>
    <row r="199" spans="1:5" x14ac:dyDescent="0.25">
      <c r="A199" s="13" t="s">
        <v>164</v>
      </c>
      <c r="B199" s="15">
        <v>1</v>
      </c>
      <c r="C199" s="16">
        <v>12000</v>
      </c>
      <c r="D199" s="17">
        <v>0.98253812991341516</v>
      </c>
      <c r="E199" s="14" t="str">
        <f t="shared" si="3"/>
        <v>C</v>
      </c>
    </row>
    <row r="200" spans="1:5" x14ac:dyDescent="0.25">
      <c r="A200" s="13" t="s">
        <v>125</v>
      </c>
      <c r="B200" s="15">
        <v>1</v>
      </c>
      <c r="C200" s="16">
        <v>12000</v>
      </c>
      <c r="D200" s="17">
        <v>0.98340760062312071</v>
      </c>
      <c r="E200" s="14" t="str">
        <f t="shared" si="3"/>
        <v>C</v>
      </c>
    </row>
    <row r="201" spans="1:5" x14ac:dyDescent="0.25">
      <c r="A201" s="13" t="s">
        <v>49</v>
      </c>
      <c r="B201" s="15">
        <v>1</v>
      </c>
      <c r="C201" s="16">
        <v>12000</v>
      </c>
      <c r="D201" s="17">
        <v>0.98427707133282616</v>
      </c>
      <c r="E201" s="14" t="str">
        <f t="shared" si="3"/>
        <v>C</v>
      </c>
    </row>
    <row r="202" spans="1:5" x14ac:dyDescent="0.25">
      <c r="A202" s="13" t="s">
        <v>52</v>
      </c>
      <c r="B202" s="15">
        <v>1</v>
      </c>
      <c r="C202" s="16">
        <v>12000</v>
      </c>
      <c r="D202" s="17">
        <v>0.9851465420425316</v>
      </c>
      <c r="E202" s="14" t="str">
        <f t="shared" si="3"/>
        <v>C</v>
      </c>
    </row>
    <row r="203" spans="1:5" x14ac:dyDescent="0.25">
      <c r="A203" s="13" t="s">
        <v>201</v>
      </c>
      <c r="B203" s="15">
        <v>1</v>
      </c>
      <c r="C203" s="16">
        <v>12000</v>
      </c>
      <c r="D203" s="17">
        <v>0.98601601275223705</v>
      </c>
      <c r="E203" s="14" t="str">
        <f t="shared" si="3"/>
        <v>C</v>
      </c>
    </row>
    <row r="204" spans="1:5" x14ac:dyDescent="0.25">
      <c r="A204" s="13" t="s">
        <v>117</v>
      </c>
      <c r="B204" s="15">
        <v>1</v>
      </c>
      <c r="C204" s="16">
        <v>12000</v>
      </c>
      <c r="D204" s="17">
        <v>0.98688548346194249</v>
      </c>
      <c r="E204" s="14" t="str">
        <f t="shared" si="3"/>
        <v>C</v>
      </c>
    </row>
    <row r="205" spans="1:5" x14ac:dyDescent="0.25">
      <c r="A205" s="13" t="s">
        <v>50</v>
      </c>
      <c r="B205" s="15">
        <v>1</v>
      </c>
      <c r="C205" s="16">
        <v>12000</v>
      </c>
      <c r="D205" s="17">
        <v>0.98775495417164805</v>
      </c>
      <c r="E205" s="14" t="str">
        <f t="shared" si="3"/>
        <v>C</v>
      </c>
    </row>
    <row r="206" spans="1:5" x14ac:dyDescent="0.25">
      <c r="A206" s="13" t="s">
        <v>92</v>
      </c>
      <c r="B206" s="15">
        <v>1</v>
      </c>
      <c r="C206" s="16">
        <v>12000</v>
      </c>
      <c r="D206" s="17">
        <v>0.98862442488135349</v>
      </c>
      <c r="E206" s="14" t="str">
        <f t="shared" si="3"/>
        <v>C</v>
      </c>
    </row>
    <row r="207" spans="1:5" x14ac:dyDescent="0.25">
      <c r="A207" s="13" t="s">
        <v>228</v>
      </c>
      <c r="B207" s="15">
        <v>1</v>
      </c>
      <c r="C207" s="16">
        <v>10000</v>
      </c>
      <c r="D207" s="17">
        <v>0.98934898380610803</v>
      </c>
      <c r="E207" s="14" t="str">
        <f t="shared" si="3"/>
        <v>C</v>
      </c>
    </row>
    <row r="208" spans="1:5" x14ac:dyDescent="0.25">
      <c r="A208" s="13" t="s">
        <v>53</v>
      </c>
      <c r="B208" s="15">
        <v>1</v>
      </c>
      <c r="C208" s="16">
        <v>10000</v>
      </c>
      <c r="D208" s="17">
        <v>0.99007354273086257</v>
      </c>
      <c r="E208" s="14" t="str">
        <f t="shared" si="3"/>
        <v>C</v>
      </c>
    </row>
    <row r="209" spans="1:5" x14ac:dyDescent="0.25">
      <c r="A209" s="13" t="s">
        <v>85</v>
      </c>
      <c r="B209" s="15">
        <v>1</v>
      </c>
      <c r="C209" s="16">
        <v>10000</v>
      </c>
      <c r="D209" s="17">
        <v>0.9907981016556171</v>
      </c>
      <c r="E209" s="14" t="str">
        <f t="shared" si="3"/>
        <v>C</v>
      </c>
    </row>
    <row r="210" spans="1:5" x14ac:dyDescent="0.25">
      <c r="A210" s="13" t="s">
        <v>149</v>
      </c>
      <c r="B210" s="15">
        <v>2</v>
      </c>
      <c r="C210" s="16">
        <v>10000</v>
      </c>
      <c r="D210" s="17">
        <v>0.99152266058037175</v>
      </c>
      <c r="E210" s="14" t="str">
        <f t="shared" si="3"/>
        <v>C</v>
      </c>
    </row>
    <row r="211" spans="1:5" x14ac:dyDescent="0.25">
      <c r="A211" s="13" t="s">
        <v>41</v>
      </c>
      <c r="B211" s="15">
        <v>1</v>
      </c>
      <c r="C211" s="16">
        <v>10000</v>
      </c>
      <c r="D211" s="17">
        <v>0.99224721950512629</v>
      </c>
      <c r="E211" s="14" t="str">
        <f t="shared" si="3"/>
        <v>C</v>
      </c>
    </row>
    <row r="212" spans="1:5" x14ac:dyDescent="0.25">
      <c r="A212" s="13" t="s">
        <v>43</v>
      </c>
      <c r="B212" s="15">
        <v>1</v>
      </c>
      <c r="C212" s="16">
        <v>10000</v>
      </c>
      <c r="D212" s="17">
        <v>0.99297177842988082</v>
      </c>
      <c r="E212" s="14" t="str">
        <f t="shared" si="3"/>
        <v>C</v>
      </c>
    </row>
    <row r="213" spans="1:5" x14ac:dyDescent="0.25">
      <c r="A213" s="13" t="s">
        <v>93</v>
      </c>
      <c r="B213" s="15">
        <v>1</v>
      </c>
      <c r="C213" s="16">
        <v>10000</v>
      </c>
      <c r="D213" s="17">
        <v>0.99369633735463536</v>
      </c>
      <c r="E213" s="14" t="str">
        <f t="shared" si="3"/>
        <v>C</v>
      </c>
    </row>
    <row r="214" spans="1:5" x14ac:dyDescent="0.25">
      <c r="A214" s="13" t="s">
        <v>190</v>
      </c>
      <c r="B214" s="15">
        <v>1</v>
      </c>
      <c r="C214" s="16">
        <v>10000</v>
      </c>
      <c r="D214" s="17">
        <v>0.9944208962793899</v>
      </c>
      <c r="E214" s="14" t="str">
        <f t="shared" si="3"/>
        <v>C</v>
      </c>
    </row>
    <row r="215" spans="1:5" x14ac:dyDescent="0.25">
      <c r="A215" s="13" t="s">
        <v>140</v>
      </c>
      <c r="B215" s="15">
        <v>1</v>
      </c>
      <c r="C215" s="16">
        <v>10000</v>
      </c>
      <c r="D215" s="17">
        <v>0.99514545520414444</v>
      </c>
      <c r="E215" s="14" t="str">
        <f t="shared" si="3"/>
        <v>C</v>
      </c>
    </row>
    <row r="216" spans="1:5" x14ac:dyDescent="0.25">
      <c r="A216" s="13" t="s">
        <v>12</v>
      </c>
      <c r="B216" s="15">
        <v>1</v>
      </c>
      <c r="C216" s="16">
        <v>10000</v>
      </c>
      <c r="D216" s="17">
        <v>0.99587001412889908</v>
      </c>
      <c r="E216" s="14" t="str">
        <f t="shared" si="3"/>
        <v>C</v>
      </c>
    </row>
    <row r="217" spans="1:5" x14ac:dyDescent="0.25">
      <c r="A217" s="13" t="s">
        <v>95</v>
      </c>
      <c r="B217" s="15">
        <v>1</v>
      </c>
      <c r="C217" s="16">
        <v>10000</v>
      </c>
      <c r="D217" s="17">
        <v>0.99659457305365362</v>
      </c>
      <c r="E217" s="14" t="str">
        <f t="shared" si="3"/>
        <v>C</v>
      </c>
    </row>
    <row r="218" spans="1:5" x14ac:dyDescent="0.25">
      <c r="A218" s="13" t="s">
        <v>202</v>
      </c>
      <c r="B218" s="15">
        <v>10</v>
      </c>
      <c r="C218" s="16">
        <v>10000</v>
      </c>
      <c r="D218" s="17">
        <v>0.99731913197840816</v>
      </c>
      <c r="E218" s="14" t="str">
        <f t="shared" si="3"/>
        <v>C</v>
      </c>
    </row>
    <row r="219" spans="1:5" x14ac:dyDescent="0.25">
      <c r="A219" s="13" t="s">
        <v>137</v>
      </c>
      <c r="B219" s="15">
        <v>1</v>
      </c>
      <c r="C219" s="16">
        <v>10000</v>
      </c>
      <c r="D219" s="17">
        <v>0.99804369090316269</v>
      </c>
      <c r="E219" s="14" t="str">
        <f t="shared" si="3"/>
        <v>C</v>
      </c>
    </row>
    <row r="220" spans="1:5" x14ac:dyDescent="0.25">
      <c r="A220" s="13" t="s">
        <v>56</v>
      </c>
      <c r="B220" s="15">
        <v>1</v>
      </c>
      <c r="C220" s="16">
        <v>6000</v>
      </c>
      <c r="D220" s="17">
        <v>0.99847842625801542</v>
      </c>
      <c r="E220" s="14" t="str">
        <f t="shared" si="3"/>
        <v>C</v>
      </c>
    </row>
    <row r="221" spans="1:5" x14ac:dyDescent="0.25">
      <c r="A221" s="13" t="s">
        <v>138</v>
      </c>
      <c r="B221" s="15">
        <v>2</v>
      </c>
      <c r="C221" s="16">
        <v>6000</v>
      </c>
      <c r="D221" s="17">
        <v>0.99891316161286814</v>
      </c>
      <c r="E221" s="14" t="str">
        <f t="shared" si="3"/>
        <v>C</v>
      </c>
    </row>
    <row r="222" spans="1:5" x14ac:dyDescent="0.25">
      <c r="A222" s="13" t="s">
        <v>172</v>
      </c>
      <c r="B222" s="15">
        <v>2</v>
      </c>
      <c r="C222" s="16">
        <v>6000</v>
      </c>
      <c r="D222" s="17">
        <v>0.99934789696772086</v>
      </c>
      <c r="E222" s="14" t="str">
        <f t="shared" si="3"/>
        <v>C</v>
      </c>
    </row>
    <row r="223" spans="1:5" x14ac:dyDescent="0.25">
      <c r="A223" s="13" t="s">
        <v>174</v>
      </c>
      <c r="B223" s="15">
        <v>1</v>
      </c>
      <c r="C223" s="16">
        <v>5000</v>
      </c>
      <c r="D223" s="17">
        <v>0.99971017643009819</v>
      </c>
      <c r="E223" s="14" t="str">
        <f t="shared" si="3"/>
        <v>C</v>
      </c>
    </row>
    <row r="224" spans="1:5" x14ac:dyDescent="0.25">
      <c r="A224" s="13" t="s">
        <v>217</v>
      </c>
      <c r="B224" s="15">
        <v>2</v>
      </c>
      <c r="C224" s="16">
        <v>4000</v>
      </c>
      <c r="D224" s="17">
        <v>1</v>
      </c>
      <c r="E224" s="14" t="str">
        <f t="shared" si="3"/>
        <v>C</v>
      </c>
    </row>
    <row r="225" spans="1:5" x14ac:dyDescent="0.25">
      <c r="A225" s="13" t="s">
        <v>239</v>
      </c>
      <c r="B225" s="15">
        <v>531</v>
      </c>
      <c r="C225" s="16">
        <v>13801500</v>
      </c>
      <c r="D225" s="17"/>
      <c r="E225" s="14" t="str">
        <f t="shared" si="3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8DFF-5645-4BFC-A6D9-3A48B54471A6}">
  <sheetPr filterMode="1"/>
  <dimension ref="A2:H223"/>
  <sheetViews>
    <sheetView workbookViewId="0">
      <selection activeCell="G3" sqref="G3"/>
    </sheetView>
  </sheetViews>
  <sheetFormatPr defaultRowHeight="13.2" x14ac:dyDescent="0.25"/>
  <cols>
    <col min="1" max="1" width="25" bestFit="1" customWidth="1"/>
    <col min="2" max="2" width="4" bestFit="1" customWidth="1"/>
    <col min="3" max="3" width="13.77734375" style="19" bestFit="1" customWidth="1"/>
    <col min="4" max="4" width="12.88671875" style="18" bestFit="1" customWidth="1"/>
    <col min="8" max="8" width="9.77734375" bestFit="1" customWidth="1"/>
  </cols>
  <sheetData>
    <row r="2" spans="1:8" x14ac:dyDescent="0.25">
      <c r="A2" t="s">
        <v>242</v>
      </c>
      <c r="B2" t="s">
        <v>241</v>
      </c>
      <c r="C2" s="19" t="s">
        <v>240</v>
      </c>
      <c r="D2" s="18" t="s">
        <v>234</v>
      </c>
      <c r="E2" t="s">
        <v>243</v>
      </c>
      <c r="G2" t="s">
        <v>241</v>
      </c>
      <c r="H2" t="s">
        <v>247</v>
      </c>
    </row>
    <row r="3" spans="1:8" x14ac:dyDescent="0.25">
      <c r="A3" t="s">
        <v>10</v>
      </c>
      <c r="B3">
        <v>40</v>
      </c>
      <c r="C3" s="19">
        <v>894000</v>
      </c>
      <c r="D3" s="18">
        <v>6.4775567873057271E-2</v>
      </c>
      <c r="E3" t="s">
        <v>244</v>
      </c>
      <c r="G3">
        <f>MEDIAN(B3:B101)</f>
        <v>2</v>
      </c>
      <c r="H3" s="19">
        <f>MEDIAN(C3:C101)</f>
        <v>80000</v>
      </c>
    </row>
    <row r="4" spans="1:8" x14ac:dyDescent="0.25">
      <c r="A4" t="s">
        <v>109</v>
      </c>
      <c r="B4">
        <v>8</v>
      </c>
      <c r="C4" s="19">
        <v>361000</v>
      </c>
      <c r="D4" s="18">
        <v>9.0932145056696737E-2</v>
      </c>
      <c r="E4" t="s">
        <v>244</v>
      </c>
    </row>
    <row r="5" spans="1:8" x14ac:dyDescent="0.25">
      <c r="A5" t="s">
        <v>11</v>
      </c>
      <c r="B5">
        <v>14</v>
      </c>
      <c r="C5" s="19">
        <v>335000</v>
      </c>
      <c r="D5" s="18">
        <v>0.11520486903597435</v>
      </c>
      <c r="E5" t="s">
        <v>244</v>
      </c>
    </row>
    <row r="6" spans="1:8" x14ac:dyDescent="0.25">
      <c r="A6" t="s">
        <v>108</v>
      </c>
      <c r="B6">
        <v>2</v>
      </c>
      <c r="C6" s="19">
        <v>260000</v>
      </c>
      <c r="D6" s="18">
        <v>0.13404340107959281</v>
      </c>
      <c r="E6" t="s">
        <v>244</v>
      </c>
    </row>
    <row r="7" spans="1:8" x14ac:dyDescent="0.25">
      <c r="A7" t="s">
        <v>17</v>
      </c>
      <c r="B7">
        <v>24</v>
      </c>
      <c r="C7" s="19">
        <v>246000</v>
      </c>
      <c r="D7" s="18">
        <v>0.15186755062855486</v>
      </c>
      <c r="E7" t="s">
        <v>244</v>
      </c>
    </row>
    <row r="8" spans="1:8" x14ac:dyDescent="0.25">
      <c r="A8" t="s">
        <v>34</v>
      </c>
      <c r="B8">
        <v>2</v>
      </c>
      <c r="C8" s="19">
        <v>230000</v>
      </c>
      <c r="D8" s="18">
        <v>0.16853240589790966</v>
      </c>
      <c r="E8" t="s">
        <v>244</v>
      </c>
    </row>
    <row r="9" spans="1:8" x14ac:dyDescent="0.25">
      <c r="A9" t="s">
        <v>15</v>
      </c>
      <c r="B9">
        <v>9</v>
      </c>
      <c r="C9" s="19">
        <v>226000</v>
      </c>
      <c r="D9" s="18">
        <v>0.18490743759736261</v>
      </c>
      <c r="E9" t="s">
        <v>244</v>
      </c>
    </row>
    <row r="10" spans="1:8" x14ac:dyDescent="0.25">
      <c r="A10" t="s">
        <v>155</v>
      </c>
      <c r="B10">
        <v>2</v>
      </c>
      <c r="C10" s="19">
        <v>224000</v>
      </c>
      <c r="D10" s="18">
        <v>0.20113755751186466</v>
      </c>
      <c r="E10" t="s">
        <v>244</v>
      </c>
    </row>
    <row r="11" spans="1:8" x14ac:dyDescent="0.25">
      <c r="A11" t="s">
        <v>8</v>
      </c>
      <c r="B11">
        <v>22</v>
      </c>
      <c r="C11" s="19">
        <v>220000</v>
      </c>
      <c r="D11" s="18">
        <v>0.21707785385646489</v>
      </c>
      <c r="E11" t="s">
        <v>244</v>
      </c>
    </row>
    <row r="12" spans="1:8" x14ac:dyDescent="0.25">
      <c r="A12" t="s">
        <v>21</v>
      </c>
      <c r="B12">
        <v>4</v>
      </c>
      <c r="C12" s="19">
        <v>216000</v>
      </c>
      <c r="D12" s="18">
        <v>0.23272832663116327</v>
      </c>
      <c r="E12" t="s">
        <v>244</v>
      </c>
    </row>
    <row r="13" spans="1:8" x14ac:dyDescent="0.25">
      <c r="A13" t="s">
        <v>13</v>
      </c>
      <c r="B13">
        <v>5</v>
      </c>
      <c r="C13" s="19">
        <v>212000</v>
      </c>
      <c r="D13" s="18">
        <v>0.24808897583595985</v>
      </c>
      <c r="E13" t="s">
        <v>244</v>
      </c>
    </row>
    <row r="14" spans="1:8" x14ac:dyDescent="0.25">
      <c r="A14" t="s">
        <v>186</v>
      </c>
      <c r="B14">
        <v>1</v>
      </c>
      <c r="C14" s="19">
        <v>180000</v>
      </c>
      <c r="D14" s="18">
        <v>0.27417309712712384</v>
      </c>
      <c r="E14" t="s">
        <v>244</v>
      </c>
    </row>
    <row r="15" spans="1:8" x14ac:dyDescent="0.25">
      <c r="A15" t="s">
        <v>230</v>
      </c>
      <c r="B15">
        <v>1</v>
      </c>
      <c r="C15" s="19">
        <v>180000</v>
      </c>
      <c r="D15" s="18">
        <v>0.26113103648154184</v>
      </c>
      <c r="E15" t="s">
        <v>244</v>
      </c>
    </row>
    <row r="16" spans="1:8" x14ac:dyDescent="0.25">
      <c r="A16" t="s">
        <v>66</v>
      </c>
      <c r="B16">
        <v>1</v>
      </c>
      <c r="C16" s="19">
        <v>175000</v>
      </c>
      <c r="D16" s="18">
        <v>0.31221244067673803</v>
      </c>
      <c r="E16" t="s">
        <v>244</v>
      </c>
    </row>
    <row r="17" spans="1:5" x14ac:dyDescent="0.25">
      <c r="A17" t="s">
        <v>199</v>
      </c>
      <c r="B17">
        <v>1</v>
      </c>
      <c r="C17" s="19">
        <v>175000</v>
      </c>
      <c r="D17" s="18">
        <v>0.2995326594935333</v>
      </c>
      <c r="E17" t="s">
        <v>244</v>
      </c>
    </row>
    <row r="18" spans="1:5" x14ac:dyDescent="0.25">
      <c r="A18" t="s">
        <v>222</v>
      </c>
      <c r="B18">
        <v>1</v>
      </c>
      <c r="C18" s="19">
        <v>175000</v>
      </c>
      <c r="D18" s="18">
        <v>0.28685287831032857</v>
      </c>
      <c r="E18" t="s">
        <v>244</v>
      </c>
    </row>
    <row r="19" spans="1:5" x14ac:dyDescent="0.25">
      <c r="A19" t="s">
        <v>96</v>
      </c>
      <c r="B19">
        <v>2</v>
      </c>
      <c r="C19" s="19">
        <v>170000</v>
      </c>
      <c r="D19" s="18">
        <v>0.3245299423975655</v>
      </c>
      <c r="E19" t="s">
        <v>244</v>
      </c>
    </row>
    <row r="20" spans="1:5" x14ac:dyDescent="0.25">
      <c r="A20" t="s">
        <v>185</v>
      </c>
      <c r="B20">
        <v>4</v>
      </c>
      <c r="C20" s="19">
        <v>164000</v>
      </c>
      <c r="D20" s="18">
        <v>0.33641270876354018</v>
      </c>
      <c r="E20" t="s">
        <v>244</v>
      </c>
    </row>
    <row r="21" spans="1:5" x14ac:dyDescent="0.25">
      <c r="A21" t="s">
        <v>105</v>
      </c>
      <c r="B21">
        <v>1</v>
      </c>
      <c r="C21" s="19">
        <v>160000</v>
      </c>
      <c r="D21" s="18">
        <v>0.34800565155961311</v>
      </c>
      <c r="E21" t="s">
        <v>244</v>
      </c>
    </row>
    <row r="22" spans="1:5" x14ac:dyDescent="0.25">
      <c r="A22" t="s">
        <v>69</v>
      </c>
      <c r="B22">
        <v>3</v>
      </c>
      <c r="C22" s="19">
        <v>157000</v>
      </c>
      <c r="D22" s="18">
        <v>0.35938122667825961</v>
      </c>
      <c r="E22" t="s">
        <v>244</v>
      </c>
    </row>
    <row r="23" spans="1:5" x14ac:dyDescent="0.25">
      <c r="A23" t="s">
        <v>214</v>
      </c>
      <c r="B23">
        <v>4</v>
      </c>
      <c r="C23" s="19">
        <v>140000</v>
      </c>
      <c r="D23" s="18">
        <v>0.36952505162482341</v>
      </c>
      <c r="E23" t="s">
        <v>244</v>
      </c>
    </row>
    <row r="24" spans="1:5" x14ac:dyDescent="0.25">
      <c r="A24" t="s">
        <v>160</v>
      </c>
      <c r="B24">
        <v>1</v>
      </c>
      <c r="C24" s="19">
        <v>135000</v>
      </c>
      <c r="D24" s="18">
        <v>0.37930659710900988</v>
      </c>
      <c r="E24" t="s">
        <v>244</v>
      </c>
    </row>
    <row r="25" spans="1:5" x14ac:dyDescent="0.25">
      <c r="A25" t="s">
        <v>218</v>
      </c>
      <c r="B25">
        <v>1</v>
      </c>
      <c r="C25" s="19">
        <v>130000</v>
      </c>
      <c r="D25" s="18">
        <v>0.38872586313081914</v>
      </c>
      <c r="E25" t="s">
        <v>244</v>
      </c>
    </row>
    <row r="26" spans="1:5" x14ac:dyDescent="0.25">
      <c r="A26" t="s">
        <v>67</v>
      </c>
      <c r="B26">
        <v>1</v>
      </c>
      <c r="C26" s="19">
        <v>125000</v>
      </c>
      <c r="D26" s="18">
        <v>0.40683983624968301</v>
      </c>
      <c r="E26" t="s">
        <v>244</v>
      </c>
    </row>
    <row r="27" spans="1:5" x14ac:dyDescent="0.25">
      <c r="A27" t="s">
        <v>106</v>
      </c>
      <c r="B27">
        <v>1</v>
      </c>
      <c r="C27" s="19">
        <v>125000</v>
      </c>
      <c r="D27" s="18">
        <v>0.39778284969025107</v>
      </c>
      <c r="E27" t="s">
        <v>244</v>
      </c>
    </row>
    <row r="28" spans="1:5" x14ac:dyDescent="0.25">
      <c r="A28" t="s">
        <v>124</v>
      </c>
      <c r="B28">
        <v>2</v>
      </c>
      <c r="C28" s="19">
        <v>125000</v>
      </c>
      <c r="D28" s="18">
        <v>0.42495380936854688</v>
      </c>
      <c r="E28" t="s">
        <v>244</v>
      </c>
    </row>
    <row r="29" spans="1:5" x14ac:dyDescent="0.25">
      <c r="A29" t="s">
        <v>216</v>
      </c>
      <c r="B29">
        <v>1</v>
      </c>
      <c r="C29" s="19">
        <v>125000</v>
      </c>
      <c r="D29" s="18">
        <v>0.41589682280911494</v>
      </c>
      <c r="E29" t="s">
        <v>244</v>
      </c>
    </row>
    <row r="30" spans="1:5" x14ac:dyDescent="0.25">
      <c r="A30" t="s">
        <v>127</v>
      </c>
      <c r="B30">
        <v>1</v>
      </c>
      <c r="C30" s="19">
        <v>122000</v>
      </c>
      <c r="D30" s="18">
        <v>0.43379342825055245</v>
      </c>
      <c r="E30" t="s">
        <v>244</v>
      </c>
    </row>
    <row r="31" spans="1:5" x14ac:dyDescent="0.25">
      <c r="A31" t="s">
        <v>29</v>
      </c>
      <c r="B31">
        <v>2</v>
      </c>
      <c r="C31" s="19">
        <v>120000</v>
      </c>
      <c r="D31" s="18">
        <v>0.44248813534760717</v>
      </c>
      <c r="E31" t="s">
        <v>244</v>
      </c>
    </row>
    <row r="32" spans="1:5" x14ac:dyDescent="0.25">
      <c r="A32" t="s">
        <v>31</v>
      </c>
      <c r="B32">
        <v>3</v>
      </c>
      <c r="C32" s="19">
        <v>120000</v>
      </c>
      <c r="D32" s="18">
        <v>0.45118284244466184</v>
      </c>
      <c r="E32" t="s">
        <v>244</v>
      </c>
    </row>
    <row r="33" spans="1:5" x14ac:dyDescent="0.25">
      <c r="A33" t="s">
        <v>183</v>
      </c>
      <c r="B33">
        <v>3</v>
      </c>
      <c r="C33" s="19">
        <v>118500</v>
      </c>
      <c r="D33" s="18">
        <v>0.45976886570300329</v>
      </c>
      <c r="E33" t="s">
        <v>244</v>
      </c>
    </row>
    <row r="34" spans="1:5" x14ac:dyDescent="0.25">
      <c r="A34" t="s">
        <v>35</v>
      </c>
      <c r="B34">
        <v>1</v>
      </c>
      <c r="C34" s="19">
        <v>115000</v>
      </c>
      <c r="D34" s="18">
        <v>0.46810129333768069</v>
      </c>
      <c r="E34" t="s">
        <v>244</v>
      </c>
    </row>
    <row r="35" spans="1:5" x14ac:dyDescent="0.25">
      <c r="A35" t="s">
        <v>18</v>
      </c>
      <c r="B35">
        <v>11</v>
      </c>
      <c r="C35" s="19">
        <v>112000</v>
      </c>
      <c r="D35" s="18">
        <v>0.47621635329493173</v>
      </c>
      <c r="E35" t="s">
        <v>244</v>
      </c>
    </row>
    <row r="36" spans="1:5" x14ac:dyDescent="0.25">
      <c r="A36" t="s">
        <v>36</v>
      </c>
      <c r="B36">
        <v>2</v>
      </c>
      <c r="C36" s="19">
        <v>104000</v>
      </c>
      <c r="D36" s="18">
        <v>0.48375176611237908</v>
      </c>
      <c r="E36" t="s">
        <v>244</v>
      </c>
    </row>
    <row r="37" spans="1:5" x14ac:dyDescent="0.25">
      <c r="A37" t="s">
        <v>219</v>
      </c>
      <c r="B37">
        <v>4</v>
      </c>
      <c r="C37" s="19">
        <v>100000</v>
      </c>
      <c r="D37" s="18">
        <v>0.49099735535992467</v>
      </c>
      <c r="E37" t="s">
        <v>244</v>
      </c>
    </row>
    <row r="38" spans="1:5" x14ac:dyDescent="0.25">
      <c r="A38" t="s">
        <v>221</v>
      </c>
      <c r="B38">
        <v>1</v>
      </c>
      <c r="C38" s="19">
        <v>100000</v>
      </c>
      <c r="D38" s="18">
        <v>0.5054885338550158</v>
      </c>
      <c r="E38" t="s">
        <v>244</v>
      </c>
    </row>
    <row r="39" spans="1:5" x14ac:dyDescent="0.25">
      <c r="A39" t="s">
        <v>232</v>
      </c>
      <c r="B39">
        <v>1</v>
      </c>
      <c r="C39" s="19">
        <v>100000</v>
      </c>
      <c r="D39" s="18">
        <v>0.49824294460747021</v>
      </c>
      <c r="E39" t="s">
        <v>244</v>
      </c>
    </row>
    <row r="40" spans="1:5" x14ac:dyDescent="0.25">
      <c r="A40" t="s">
        <v>42</v>
      </c>
      <c r="B40">
        <v>8</v>
      </c>
      <c r="C40" s="19">
        <v>94000</v>
      </c>
      <c r="D40" s="18">
        <v>0.51229938774770856</v>
      </c>
      <c r="E40" t="s">
        <v>244</v>
      </c>
    </row>
    <row r="41" spans="1:5" x14ac:dyDescent="0.25">
      <c r="A41" t="s">
        <v>28</v>
      </c>
      <c r="B41">
        <v>3</v>
      </c>
      <c r="C41" s="19">
        <v>90000</v>
      </c>
      <c r="D41" s="18">
        <v>0.51882041807049961</v>
      </c>
      <c r="E41" t="s">
        <v>244</v>
      </c>
    </row>
    <row r="42" spans="1:5" x14ac:dyDescent="0.25">
      <c r="A42" t="s">
        <v>20</v>
      </c>
      <c r="B42">
        <v>5</v>
      </c>
      <c r="C42" s="19">
        <v>90000</v>
      </c>
      <c r="D42" s="18">
        <v>0.52534144839329056</v>
      </c>
      <c r="E42" t="s">
        <v>244</v>
      </c>
    </row>
    <row r="43" spans="1:5" x14ac:dyDescent="0.25">
      <c r="A43" t="s">
        <v>26</v>
      </c>
      <c r="B43">
        <v>2</v>
      </c>
      <c r="C43" s="19">
        <v>90000</v>
      </c>
      <c r="D43" s="18">
        <v>0.53186247871608161</v>
      </c>
      <c r="E43" t="s">
        <v>244</v>
      </c>
    </row>
    <row r="44" spans="1:5" x14ac:dyDescent="0.25">
      <c r="A44" t="s">
        <v>38</v>
      </c>
      <c r="B44">
        <v>2</v>
      </c>
      <c r="C44" s="19">
        <v>89000</v>
      </c>
      <c r="D44" s="18">
        <v>0.53831105314639716</v>
      </c>
      <c r="E44" t="s">
        <v>244</v>
      </c>
    </row>
    <row r="45" spans="1:5" x14ac:dyDescent="0.25">
      <c r="A45" t="s">
        <v>104</v>
      </c>
      <c r="B45">
        <v>2</v>
      </c>
      <c r="C45" s="19">
        <v>84000</v>
      </c>
      <c r="D45" s="18">
        <v>0.54439734811433538</v>
      </c>
      <c r="E45" t="s">
        <v>244</v>
      </c>
    </row>
    <row r="46" spans="1:5" x14ac:dyDescent="0.25">
      <c r="A46" t="s">
        <v>123</v>
      </c>
      <c r="B46">
        <v>5</v>
      </c>
      <c r="C46" s="19">
        <v>84000</v>
      </c>
      <c r="D46" s="18">
        <v>0.55048364308227371</v>
      </c>
      <c r="E46" t="s">
        <v>244</v>
      </c>
    </row>
    <row r="47" spans="1:5" x14ac:dyDescent="0.25">
      <c r="A47" t="s">
        <v>30</v>
      </c>
      <c r="B47">
        <v>1</v>
      </c>
      <c r="C47" s="19">
        <v>83000</v>
      </c>
      <c r="D47" s="18">
        <v>0.55649748215773642</v>
      </c>
      <c r="E47" t="s">
        <v>244</v>
      </c>
    </row>
    <row r="48" spans="1:5" x14ac:dyDescent="0.25">
      <c r="A48" t="s">
        <v>179</v>
      </c>
      <c r="B48">
        <v>2</v>
      </c>
      <c r="C48" s="19">
        <v>82000</v>
      </c>
      <c r="D48" s="18">
        <v>0.56243886534072385</v>
      </c>
      <c r="E48" t="s">
        <v>244</v>
      </c>
    </row>
    <row r="49" spans="1:5" x14ac:dyDescent="0.25">
      <c r="A49" t="s">
        <v>103</v>
      </c>
      <c r="B49">
        <v>7</v>
      </c>
      <c r="C49" s="19">
        <v>81000</v>
      </c>
      <c r="D49" s="18">
        <v>0.56830779263123576</v>
      </c>
      <c r="E49" t="s">
        <v>244</v>
      </c>
    </row>
    <row r="50" spans="1:5" x14ac:dyDescent="0.25">
      <c r="A50" t="s">
        <v>107</v>
      </c>
      <c r="B50">
        <v>1</v>
      </c>
      <c r="C50" s="19">
        <v>80000</v>
      </c>
      <c r="D50" s="18">
        <v>0.59729014962141791</v>
      </c>
      <c r="E50" t="s">
        <v>244</v>
      </c>
    </row>
    <row r="51" spans="1:5" x14ac:dyDescent="0.25">
      <c r="A51" t="s">
        <v>184</v>
      </c>
      <c r="B51">
        <v>2</v>
      </c>
      <c r="C51" s="19">
        <v>80000</v>
      </c>
      <c r="D51" s="18">
        <v>0.60308662101945443</v>
      </c>
      <c r="E51" t="s">
        <v>244</v>
      </c>
    </row>
    <row r="52" spans="1:5" x14ac:dyDescent="0.25">
      <c r="A52" t="s">
        <v>159</v>
      </c>
      <c r="B52">
        <v>2</v>
      </c>
      <c r="C52" s="19">
        <v>80000</v>
      </c>
      <c r="D52" s="18">
        <v>0.5856972068253451</v>
      </c>
      <c r="E52" t="s">
        <v>244</v>
      </c>
    </row>
    <row r="53" spans="1:5" x14ac:dyDescent="0.25">
      <c r="A53" t="s">
        <v>212</v>
      </c>
      <c r="B53">
        <v>1</v>
      </c>
      <c r="C53" s="19">
        <v>80000</v>
      </c>
      <c r="D53" s="18">
        <v>0.5914936782233815</v>
      </c>
      <c r="E53" t="s">
        <v>244</v>
      </c>
    </row>
    <row r="54" spans="1:5" x14ac:dyDescent="0.25">
      <c r="A54" t="s">
        <v>213</v>
      </c>
      <c r="B54">
        <v>1</v>
      </c>
      <c r="C54" s="19">
        <v>80000</v>
      </c>
      <c r="D54" s="18">
        <v>0.57410426402927217</v>
      </c>
      <c r="E54" t="s">
        <v>244</v>
      </c>
    </row>
    <row r="55" spans="1:5" x14ac:dyDescent="0.25">
      <c r="A55" t="s">
        <v>223</v>
      </c>
      <c r="B55">
        <v>1</v>
      </c>
      <c r="C55" s="19">
        <v>80000</v>
      </c>
      <c r="D55" s="18">
        <v>0.57990073542730858</v>
      </c>
      <c r="E55" t="s">
        <v>244</v>
      </c>
    </row>
    <row r="56" spans="1:5" x14ac:dyDescent="0.25">
      <c r="A56" t="s">
        <v>90</v>
      </c>
      <c r="B56">
        <v>2</v>
      </c>
      <c r="C56" s="19">
        <v>78000</v>
      </c>
      <c r="D56" s="18">
        <v>0.60873818063253993</v>
      </c>
      <c r="E56" t="s">
        <v>244</v>
      </c>
    </row>
    <row r="57" spans="1:5" x14ac:dyDescent="0.25">
      <c r="A57" t="s">
        <v>204</v>
      </c>
      <c r="B57">
        <v>1</v>
      </c>
      <c r="C57" s="19">
        <v>77500</v>
      </c>
      <c r="D57" s="18">
        <v>0.61435351229938773</v>
      </c>
      <c r="E57" t="s">
        <v>244</v>
      </c>
    </row>
    <row r="58" spans="1:5" x14ac:dyDescent="0.25">
      <c r="A58" t="s">
        <v>63</v>
      </c>
      <c r="B58">
        <v>6</v>
      </c>
      <c r="C58" s="19">
        <v>76000</v>
      </c>
      <c r="D58" s="18">
        <v>0.61986016012752232</v>
      </c>
      <c r="E58" t="s">
        <v>244</v>
      </c>
    </row>
    <row r="59" spans="1:5" x14ac:dyDescent="0.25">
      <c r="A59" t="s">
        <v>32</v>
      </c>
      <c r="B59">
        <v>1</v>
      </c>
      <c r="C59" s="19">
        <v>75000</v>
      </c>
      <c r="D59" s="18">
        <v>0.63072854399884071</v>
      </c>
      <c r="E59" t="s">
        <v>244</v>
      </c>
    </row>
    <row r="60" spans="1:5" x14ac:dyDescent="0.25">
      <c r="A60" t="s">
        <v>89</v>
      </c>
      <c r="B60">
        <v>3</v>
      </c>
      <c r="C60" s="19">
        <v>75000</v>
      </c>
      <c r="D60" s="18">
        <v>0.62529435206318151</v>
      </c>
      <c r="E60" t="s">
        <v>244</v>
      </c>
    </row>
    <row r="61" spans="1:5" x14ac:dyDescent="0.25">
      <c r="A61" t="s">
        <v>133</v>
      </c>
      <c r="B61">
        <v>1</v>
      </c>
      <c r="C61" s="19">
        <v>75000</v>
      </c>
      <c r="D61" s="18">
        <v>0.64159692787015909</v>
      </c>
      <c r="E61" t="s">
        <v>244</v>
      </c>
    </row>
    <row r="62" spans="1:5" x14ac:dyDescent="0.25">
      <c r="A62" t="s">
        <v>195</v>
      </c>
      <c r="B62">
        <v>5</v>
      </c>
      <c r="C62" s="19">
        <v>75000</v>
      </c>
      <c r="D62" s="18">
        <v>0.6361627359344999</v>
      </c>
      <c r="E62" t="s">
        <v>244</v>
      </c>
    </row>
    <row r="63" spans="1:5" x14ac:dyDescent="0.25">
      <c r="A63" t="s">
        <v>80</v>
      </c>
      <c r="B63">
        <v>1</v>
      </c>
      <c r="C63" s="19">
        <v>74000</v>
      </c>
      <c r="D63" s="18">
        <v>0.64695866391334278</v>
      </c>
      <c r="E63" t="s">
        <v>244</v>
      </c>
    </row>
    <row r="64" spans="1:5" x14ac:dyDescent="0.25">
      <c r="A64" t="s">
        <v>146</v>
      </c>
      <c r="B64">
        <v>1</v>
      </c>
      <c r="C64" s="19">
        <v>72000</v>
      </c>
      <c r="D64" s="18">
        <v>0.65217548817157556</v>
      </c>
      <c r="E64" t="s">
        <v>244</v>
      </c>
    </row>
    <row r="65" spans="1:5" x14ac:dyDescent="0.25">
      <c r="A65" t="s">
        <v>84</v>
      </c>
      <c r="B65">
        <v>2</v>
      </c>
      <c r="C65" s="19">
        <v>70000</v>
      </c>
      <c r="D65" s="18">
        <v>0.66739122559142128</v>
      </c>
      <c r="E65" t="s">
        <v>244</v>
      </c>
    </row>
    <row r="66" spans="1:5" x14ac:dyDescent="0.25">
      <c r="A66" t="s">
        <v>126</v>
      </c>
      <c r="B66">
        <v>1</v>
      </c>
      <c r="C66" s="19">
        <v>70000</v>
      </c>
      <c r="D66" s="18">
        <v>0.67246313806470315</v>
      </c>
      <c r="E66" t="s">
        <v>244</v>
      </c>
    </row>
    <row r="67" spans="1:5" x14ac:dyDescent="0.25">
      <c r="A67" t="s">
        <v>9</v>
      </c>
      <c r="B67">
        <v>2</v>
      </c>
      <c r="C67" s="19">
        <v>70000</v>
      </c>
      <c r="D67" s="18">
        <v>0.65724740064485743</v>
      </c>
      <c r="E67" t="s">
        <v>244</v>
      </c>
    </row>
    <row r="68" spans="1:5" x14ac:dyDescent="0.25">
      <c r="A68" t="s">
        <v>175</v>
      </c>
      <c r="B68">
        <v>2</v>
      </c>
      <c r="C68" s="19">
        <v>70000</v>
      </c>
      <c r="D68" s="18">
        <v>0.6623193131181393</v>
      </c>
      <c r="E68" t="s">
        <v>244</v>
      </c>
    </row>
    <row r="69" spans="1:5" x14ac:dyDescent="0.25">
      <c r="A69" t="s">
        <v>45</v>
      </c>
      <c r="B69">
        <v>13</v>
      </c>
      <c r="C69" s="19">
        <v>65000</v>
      </c>
      <c r="D69" s="18">
        <v>0.67717277107560769</v>
      </c>
      <c r="E69" t="s">
        <v>244</v>
      </c>
    </row>
    <row r="70" spans="1:5" x14ac:dyDescent="0.25">
      <c r="A70" t="s">
        <v>128</v>
      </c>
      <c r="B70">
        <v>1</v>
      </c>
      <c r="C70" s="19">
        <v>65000</v>
      </c>
      <c r="D70" s="18">
        <v>0.68188240408651235</v>
      </c>
      <c r="E70" t="s">
        <v>244</v>
      </c>
    </row>
    <row r="71" spans="1:5" x14ac:dyDescent="0.25">
      <c r="A71" t="s">
        <v>39</v>
      </c>
      <c r="B71">
        <v>4</v>
      </c>
      <c r="C71" s="19">
        <v>64000</v>
      </c>
      <c r="D71" s="18">
        <v>0.6865195812049415</v>
      </c>
      <c r="E71" t="s">
        <v>244</v>
      </c>
    </row>
    <row r="72" spans="1:5" x14ac:dyDescent="0.25">
      <c r="A72" t="s">
        <v>60</v>
      </c>
      <c r="B72">
        <v>1</v>
      </c>
      <c r="C72" s="19">
        <v>63000</v>
      </c>
      <c r="D72" s="18">
        <v>0.69564902365684889</v>
      </c>
      <c r="E72" t="s">
        <v>244</v>
      </c>
    </row>
    <row r="73" spans="1:5" x14ac:dyDescent="0.25">
      <c r="A73" t="s">
        <v>75</v>
      </c>
      <c r="B73">
        <v>2</v>
      </c>
      <c r="C73" s="19">
        <v>63000</v>
      </c>
      <c r="D73" s="18">
        <v>0.69108430243089525</v>
      </c>
      <c r="E73" t="s">
        <v>244</v>
      </c>
    </row>
    <row r="74" spans="1:5" x14ac:dyDescent="0.25">
      <c r="A74" t="s">
        <v>215</v>
      </c>
      <c r="B74">
        <v>1</v>
      </c>
      <c r="C74" s="19">
        <v>63000</v>
      </c>
      <c r="D74" s="18">
        <v>0.70021374488280264</v>
      </c>
      <c r="E74" t="s">
        <v>244</v>
      </c>
    </row>
    <row r="75" spans="1:5" x14ac:dyDescent="0.25">
      <c r="A75" t="s">
        <v>25</v>
      </c>
      <c r="B75">
        <v>4</v>
      </c>
      <c r="C75" s="19">
        <v>60000</v>
      </c>
      <c r="D75" s="18">
        <v>0.70456109843132997</v>
      </c>
      <c r="E75" t="s">
        <v>244</v>
      </c>
    </row>
    <row r="76" spans="1:5" x14ac:dyDescent="0.25">
      <c r="A76" t="s">
        <v>79</v>
      </c>
      <c r="B76">
        <v>1</v>
      </c>
      <c r="C76" s="19">
        <v>57000</v>
      </c>
      <c r="D76" s="18">
        <v>0.71282107017353191</v>
      </c>
      <c r="E76" t="s">
        <v>244</v>
      </c>
    </row>
    <row r="77" spans="1:5" x14ac:dyDescent="0.25">
      <c r="A77" t="s">
        <v>83</v>
      </c>
      <c r="B77">
        <v>1</v>
      </c>
      <c r="C77" s="19">
        <v>57000</v>
      </c>
      <c r="D77" s="18">
        <v>0.70869108430243088</v>
      </c>
      <c r="E77" t="s">
        <v>244</v>
      </c>
    </row>
    <row r="78" spans="1:5" x14ac:dyDescent="0.25">
      <c r="A78" t="s">
        <v>181</v>
      </c>
      <c r="B78">
        <v>1</v>
      </c>
      <c r="C78" s="19">
        <v>57000</v>
      </c>
      <c r="D78" s="18">
        <v>0.71695105604463283</v>
      </c>
      <c r="E78" t="s">
        <v>244</v>
      </c>
    </row>
    <row r="79" spans="1:5" x14ac:dyDescent="0.25">
      <c r="A79" t="s">
        <v>74</v>
      </c>
      <c r="B79">
        <v>5</v>
      </c>
      <c r="C79" s="19">
        <v>55000</v>
      </c>
      <c r="D79" s="18">
        <v>0.72093613013078284</v>
      </c>
      <c r="E79" t="s">
        <v>244</v>
      </c>
    </row>
    <row r="80" spans="1:5" x14ac:dyDescent="0.25">
      <c r="A80" t="s">
        <v>182</v>
      </c>
      <c r="B80">
        <v>1</v>
      </c>
      <c r="C80" s="19">
        <v>55000</v>
      </c>
      <c r="D80" s="18">
        <v>0.72492120421693296</v>
      </c>
      <c r="E80" t="s">
        <v>244</v>
      </c>
    </row>
    <row r="81" spans="1:5" x14ac:dyDescent="0.25">
      <c r="A81" t="s">
        <v>51</v>
      </c>
      <c r="B81">
        <v>11</v>
      </c>
      <c r="C81" s="19">
        <v>54000</v>
      </c>
      <c r="D81" s="18">
        <v>0.72883382241060757</v>
      </c>
      <c r="E81" t="s">
        <v>244</v>
      </c>
    </row>
    <row r="82" spans="1:5" x14ac:dyDescent="0.25">
      <c r="A82" t="s">
        <v>203</v>
      </c>
      <c r="B82">
        <v>1</v>
      </c>
      <c r="C82" s="19">
        <v>53000</v>
      </c>
      <c r="D82" s="18">
        <v>0.73651414701300588</v>
      </c>
      <c r="E82" t="s">
        <v>244</v>
      </c>
    </row>
    <row r="83" spans="1:5" x14ac:dyDescent="0.25">
      <c r="A83" t="s">
        <v>206</v>
      </c>
      <c r="B83">
        <v>1</v>
      </c>
      <c r="C83" s="19">
        <v>53000</v>
      </c>
      <c r="D83" s="18">
        <v>0.74035430931420498</v>
      </c>
      <c r="E83" t="s">
        <v>244</v>
      </c>
    </row>
    <row r="84" spans="1:5" x14ac:dyDescent="0.25">
      <c r="A84" t="s">
        <v>208</v>
      </c>
      <c r="B84">
        <v>1</v>
      </c>
      <c r="C84" s="19">
        <v>53000</v>
      </c>
      <c r="D84" s="18">
        <v>0.73267398471180667</v>
      </c>
      <c r="E84" t="s">
        <v>244</v>
      </c>
    </row>
    <row r="85" spans="1:5" x14ac:dyDescent="0.25">
      <c r="A85" t="s">
        <v>98</v>
      </c>
      <c r="B85">
        <v>2</v>
      </c>
      <c r="C85" s="19">
        <v>52000</v>
      </c>
      <c r="D85" s="18">
        <v>0.74412201572292869</v>
      </c>
      <c r="E85" t="s">
        <v>244</v>
      </c>
    </row>
    <row r="86" spans="1:5" x14ac:dyDescent="0.25">
      <c r="A86" t="s">
        <v>99</v>
      </c>
      <c r="B86">
        <v>2</v>
      </c>
      <c r="C86" s="19">
        <v>52000</v>
      </c>
      <c r="D86" s="18">
        <v>0.74788972213165239</v>
      </c>
      <c r="E86" t="s">
        <v>244</v>
      </c>
    </row>
    <row r="87" spans="1:5" x14ac:dyDescent="0.25">
      <c r="A87" t="s">
        <v>59</v>
      </c>
      <c r="B87">
        <v>2</v>
      </c>
      <c r="C87" s="19">
        <v>50000</v>
      </c>
      <c r="D87" s="18">
        <v>0.75151251675542519</v>
      </c>
      <c r="E87" t="s">
        <v>244</v>
      </c>
    </row>
    <row r="88" spans="1:5" x14ac:dyDescent="0.25">
      <c r="A88" t="s">
        <v>65</v>
      </c>
      <c r="B88">
        <v>1</v>
      </c>
      <c r="C88" s="19">
        <v>50000</v>
      </c>
      <c r="D88" s="18">
        <v>0.75875810600297067</v>
      </c>
      <c r="E88" t="s">
        <v>244</v>
      </c>
    </row>
    <row r="89" spans="1:5" x14ac:dyDescent="0.25">
      <c r="A89" t="s">
        <v>113</v>
      </c>
      <c r="B89">
        <v>1</v>
      </c>
      <c r="C89" s="19">
        <v>50000</v>
      </c>
      <c r="D89" s="18">
        <v>0.76600369525051626</v>
      </c>
      <c r="E89" t="s">
        <v>244</v>
      </c>
    </row>
    <row r="90" spans="1:5" x14ac:dyDescent="0.25">
      <c r="A90" t="s">
        <v>178</v>
      </c>
      <c r="B90">
        <v>1</v>
      </c>
      <c r="C90" s="19">
        <v>50000</v>
      </c>
      <c r="D90" s="18">
        <v>0.75513531137919787</v>
      </c>
      <c r="E90" t="s">
        <v>244</v>
      </c>
    </row>
    <row r="91" spans="1:5" x14ac:dyDescent="0.25">
      <c r="A91" t="s">
        <v>191</v>
      </c>
      <c r="B91">
        <v>1</v>
      </c>
      <c r="C91" s="19">
        <v>50000</v>
      </c>
      <c r="D91" s="18">
        <v>0.76238090062674346</v>
      </c>
      <c r="E91" t="s">
        <v>244</v>
      </c>
    </row>
    <row r="92" spans="1:5" x14ac:dyDescent="0.25">
      <c r="A92" t="s">
        <v>114</v>
      </c>
      <c r="B92">
        <v>3</v>
      </c>
      <c r="C92" s="19">
        <v>49000</v>
      </c>
      <c r="D92" s="18">
        <v>0.76955403398181355</v>
      </c>
      <c r="E92" t="s">
        <v>244</v>
      </c>
    </row>
    <row r="93" spans="1:5" x14ac:dyDescent="0.25">
      <c r="A93" t="s">
        <v>24</v>
      </c>
      <c r="B93">
        <v>3</v>
      </c>
      <c r="C93" s="19">
        <v>47000</v>
      </c>
      <c r="D93" s="18">
        <v>0.77636488787450642</v>
      </c>
      <c r="E93" t="s">
        <v>244</v>
      </c>
    </row>
    <row r="94" spans="1:5" x14ac:dyDescent="0.25">
      <c r="A94" t="s">
        <v>61</v>
      </c>
      <c r="B94">
        <v>3</v>
      </c>
      <c r="C94" s="19">
        <v>47000</v>
      </c>
      <c r="D94" s="18">
        <v>0.77295946092816004</v>
      </c>
      <c r="E94" t="s">
        <v>244</v>
      </c>
    </row>
    <row r="95" spans="1:5" x14ac:dyDescent="0.25">
      <c r="A95" t="s">
        <v>110</v>
      </c>
      <c r="B95">
        <v>1</v>
      </c>
      <c r="C95" s="19">
        <v>45000</v>
      </c>
      <c r="D95" s="18">
        <v>0.78288591819729736</v>
      </c>
      <c r="E95" t="s">
        <v>244</v>
      </c>
    </row>
    <row r="96" spans="1:5" x14ac:dyDescent="0.25">
      <c r="A96" t="s">
        <v>112</v>
      </c>
      <c r="B96">
        <v>1</v>
      </c>
      <c r="C96" s="19">
        <v>45000</v>
      </c>
      <c r="D96" s="18">
        <v>0.79266746368148389</v>
      </c>
      <c r="E96" t="s">
        <v>244</v>
      </c>
    </row>
    <row r="97" spans="1:5" x14ac:dyDescent="0.25">
      <c r="A97" t="s">
        <v>70</v>
      </c>
      <c r="B97">
        <v>2</v>
      </c>
      <c r="C97" s="19">
        <v>45000</v>
      </c>
      <c r="D97" s="18">
        <v>0.77962540303590189</v>
      </c>
      <c r="E97" t="s">
        <v>244</v>
      </c>
    </row>
    <row r="98" spans="1:5" x14ac:dyDescent="0.25">
      <c r="A98" t="s">
        <v>150</v>
      </c>
      <c r="B98">
        <v>1</v>
      </c>
      <c r="C98" s="19">
        <v>45000</v>
      </c>
      <c r="D98" s="18">
        <v>0.78940694852008841</v>
      </c>
      <c r="E98" t="s">
        <v>244</v>
      </c>
    </row>
    <row r="99" spans="1:5" x14ac:dyDescent="0.25">
      <c r="A99" t="s">
        <v>194</v>
      </c>
      <c r="B99">
        <v>3</v>
      </c>
      <c r="C99" s="19">
        <v>45000</v>
      </c>
      <c r="D99" s="18">
        <v>0.78614643335869294</v>
      </c>
      <c r="E99" t="s">
        <v>244</v>
      </c>
    </row>
    <row r="100" spans="1:5" x14ac:dyDescent="0.25">
      <c r="A100" t="s">
        <v>100</v>
      </c>
      <c r="B100">
        <v>2</v>
      </c>
      <c r="C100" s="19">
        <v>43000</v>
      </c>
      <c r="D100" s="18">
        <v>0.79578306705792845</v>
      </c>
      <c r="E100" t="s">
        <v>244</v>
      </c>
    </row>
    <row r="101" spans="1:5" x14ac:dyDescent="0.25">
      <c r="A101" t="s">
        <v>176</v>
      </c>
      <c r="B101">
        <v>3</v>
      </c>
      <c r="C101" s="19">
        <v>42500</v>
      </c>
      <c r="D101" s="18">
        <v>0.79886244248813532</v>
      </c>
      <c r="E101" t="s">
        <v>244</v>
      </c>
    </row>
    <row r="102" spans="1:5" hidden="1" x14ac:dyDescent="0.25">
      <c r="A102" t="s">
        <v>118</v>
      </c>
      <c r="B102">
        <v>2</v>
      </c>
      <c r="C102" s="19">
        <v>42000</v>
      </c>
      <c r="D102" s="18">
        <v>0.80494873745607365</v>
      </c>
      <c r="E102" t="s">
        <v>245</v>
      </c>
    </row>
    <row r="103" spans="1:5" hidden="1" x14ac:dyDescent="0.25">
      <c r="A103" t="s">
        <v>188</v>
      </c>
      <c r="B103">
        <v>4</v>
      </c>
      <c r="C103" s="19">
        <v>42000</v>
      </c>
      <c r="D103" s="18">
        <v>0.8079918849400427</v>
      </c>
      <c r="E103" t="s">
        <v>245</v>
      </c>
    </row>
    <row r="104" spans="1:5" hidden="1" x14ac:dyDescent="0.25">
      <c r="A104" t="s">
        <v>168</v>
      </c>
      <c r="B104">
        <v>1</v>
      </c>
      <c r="C104" s="19">
        <v>42000</v>
      </c>
      <c r="D104" s="18">
        <v>0.80190558997210448</v>
      </c>
      <c r="E104" t="s">
        <v>245</v>
      </c>
    </row>
    <row r="105" spans="1:5" hidden="1" x14ac:dyDescent="0.25">
      <c r="A105" t="s">
        <v>62</v>
      </c>
      <c r="B105">
        <v>2</v>
      </c>
      <c r="C105" s="19">
        <v>40000</v>
      </c>
      <c r="D105" s="18">
        <v>0.81089012063906096</v>
      </c>
      <c r="E105" t="s">
        <v>245</v>
      </c>
    </row>
    <row r="106" spans="1:5" hidden="1" x14ac:dyDescent="0.25">
      <c r="A106" t="s">
        <v>162</v>
      </c>
      <c r="B106">
        <v>1</v>
      </c>
      <c r="C106" s="19">
        <v>40000</v>
      </c>
      <c r="D106" s="18">
        <v>0.81378835633807922</v>
      </c>
      <c r="E106" t="s">
        <v>245</v>
      </c>
    </row>
    <row r="107" spans="1:5" hidden="1" x14ac:dyDescent="0.25">
      <c r="A107" t="s">
        <v>72</v>
      </c>
      <c r="B107">
        <v>1</v>
      </c>
      <c r="C107" s="19">
        <v>37000</v>
      </c>
      <c r="D107" s="18">
        <v>0.82451182842444659</v>
      </c>
      <c r="E107" t="s">
        <v>245</v>
      </c>
    </row>
    <row r="108" spans="1:5" hidden="1" x14ac:dyDescent="0.25">
      <c r="A108" t="s">
        <v>131</v>
      </c>
      <c r="B108">
        <v>1</v>
      </c>
      <c r="C108" s="19">
        <v>37000</v>
      </c>
      <c r="D108" s="18">
        <v>0.81915009238126291</v>
      </c>
      <c r="E108" t="s">
        <v>245</v>
      </c>
    </row>
    <row r="109" spans="1:5" hidden="1" x14ac:dyDescent="0.25">
      <c r="A109" t="s">
        <v>152</v>
      </c>
      <c r="B109">
        <v>1</v>
      </c>
      <c r="C109" s="19">
        <v>37000</v>
      </c>
      <c r="D109" s="18">
        <v>0.81646922435967106</v>
      </c>
      <c r="E109" t="s">
        <v>245</v>
      </c>
    </row>
    <row r="110" spans="1:5" hidden="1" x14ac:dyDescent="0.25">
      <c r="A110" t="s">
        <v>163</v>
      </c>
      <c r="B110">
        <v>1</v>
      </c>
      <c r="C110" s="19">
        <v>37000</v>
      </c>
      <c r="D110" s="18">
        <v>0.82183096040285475</v>
      </c>
      <c r="E110" t="s">
        <v>245</v>
      </c>
    </row>
    <row r="111" spans="1:5" hidden="1" x14ac:dyDescent="0.25">
      <c r="A111" t="s">
        <v>77</v>
      </c>
      <c r="B111">
        <v>1</v>
      </c>
      <c r="C111" s="19">
        <v>36000</v>
      </c>
      <c r="D111" s="18">
        <v>0.82712024055356304</v>
      </c>
      <c r="E111" t="s">
        <v>245</v>
      </c>
    </row>
    <row r="112" spans="1:5" hidden="1" x14ac:dyDescent="0.25">
      <c r="A112" t="s">
        <v>58</v>
      </c>
      <c r="B112">
        <v>7</v>
      </c>
      <c r="C112" s="19">
        <v>35000</v>
      </c>
      <c r="D112" s="18">
        <v>0.83726406550012678</v>
      </c>
      <c r="E112" t="s">
        <v>245</v>
      </c>
    </row>
    <row r="113" spans="1:5" hidden="1" x14ac:dyDescent="0.25">
      <c r="A113" t="s">
        <v>88</v>
      </c>
      <c r="B113">
        <v>1</v>
      </c>
      <c r="C113" s="19">
        <v>35000</v>
      </c>
      <c r="D113" s="18">
        <v>0.84740789044669063</v>
      </c>
      <c r="E113" t="s">
        <v>245</v>
      </c>
    </row>
    <row r="114" spans="1:5" hidden="1" x14ac:dyDescent="0.25">
      <c r="A114" t="s">
        <v>19</v>
      </c>
      <c r="B114">
        <v>1</v>
      </c>
      <c r="C114" s="19">
        <v>35000</v>
      </c>
      <c r="D114" s="18">
        <v>0.83472810926348584</v>
      </c>
      <c r="E114" t="s">
        <v>245</v>
      </c>
    </row>
    <row r="115" spans="1:5" hidden="1" x14ac:dyDescent="0.25">
      <c r="A115" t="s">
        <v>136</v>
      </c>
      <c r="B115">
        <v>1</v>
      </c>
      <c r="C115" s="19">
        <v>35000</v>
      </c>
      <c r="D115" s="18">
        <v>0.82965619679020397</v>
      </c>
      <c r="E115" t="s">
        <v>245</v>
      </c>
    </row>
    <row r="116" spans="1:5" hidden="1" x14ac:dyDescent="0.25">
      <c r="A116" t="s">
        <v>158</v>
      </c>
      <c r="B116">
        <v>1</v>
      </c>
      <c r="C116" s="19">
        <v>35000</v>
      </c>
      <c r="D116" s="18">
        <v>0.83219215302684491</v>
      </c>
      <c r="E116" t="s">
        <v>245</v>
      </c>
    </row>
    <row r="117" spans="1:5" hidden="1" x14ac:dyDescent="0.25">
      <c r="A117" t="s">
        <v>173</v>
      </c>
      <c r="B117">
        <v>6</v>
      </c>
      <c r="C117" s="19">
        <v>35000</v>
      </c>
      <c r="D117" s="18">
        <v>0.84233597797340864</v>
      </c>
      <c r="E117" t="s">
        <v>245</v>
      </c>
    </row>
    <row r="118" spans="1:5" hidden="1" x14ac:dyDescent="0.25">
      <c r="A118" t="s">
        <v>198</v>
      </c>
      <c r="B118">
        <v>1</v>
      </c>
      <c r="C118" s="19">
        <v>35000</v>
      </c>
      <c r="D118" s="18">
        <v>0.8524798029199725</v>
      </c>
      <c r="E118" t="s">
        <v>245</v>
      </c>
    </row>
    <row r="119" spans="1:5" hidden="1" x14ac:dyDescent="0.25">
      <c r="A119" t="s">
        <v>76</v>
      </c>
      <c r="B119">
        <v>1</v>
      </c>
      <c r="C119" s="19">
        <v>35000</v>
      </c>
      <c r="D119" s="18">
        <v>0.84487193421004958</v>
      </c>
      <c r="E119" t="s">
        <v>245</v>
      </c>
    </row>
    <row r="120" spans="1:5" hidden="1" x14ac:dyDescent="0.25">
      <c r="A120" t="s">
        <v>209</v>
      </c>
      <c r="B120">
        <v>1</v>
      </c>
      <c r="C120" s="19">
        <v>35000</v>
      </c>
      <c r="D120" s="18">
        <v>0.84994384668333156</v>
      </c>
      <c r="E120" t="s">
        <v>245</v>
      </c>
    </row>
    <row r="121" spans="1:5" hidden="1" x14ac:dyDescent="0.25">
      <c r="A121" t="s">
        <v>205</v>
      </c>
      <c r="B121">
        <v>1</v>
      </c>
      <c r="C121" s="19">
        <v>35000</v>
      </c>
      <c r="D121" s="18">
        <v>0.83980002173676771</v>
      </c>
      <c r="E121" t="s">
        <v>245</v>
      </c>
    </row>
    <row r="122" spans="1:5" hidden="1" x14ac:dyDescent="0.25">
      <c r="A122" t="s">
        <v>145</v>
      </c>
      <c r="B122">
        <v>1</v>
      </c>
      <c r="C122" s="19">
        <v>34000</v>
      </c>
      <c r="D122" s="18">
        <v>0.85494330326413792</v>
      </c>
      <c r="E122" t="s">
        <v>245</v>
      </c>
    </row>
    <row r="123" spans="1:5" hidden="1" x14ac:dyDescent="0.25">
      <c r="A123" t="s">
        <v>169</v>
      </c>
      <c r="B123">
        <v>6</v>
      </c>
      <c r="C123" s="19">
        <v>34000</v>
      </c>
      <c r="D123" s="18">
        <v>0.85740680360830346</v>
      </c>
      <c r="E123" t="s">
        <v>245</v>
      </c>
    </row>
    <row r="124" spans="1:5" hidden="1" x14ac:dyDescent="0.25">
      <c r="A124" t="s">
        <v>86</v>
      </c>
      <c r="B124">
        <v>1</v>
      </c>
      <c r="C124" s="19">
        <v>33000</v>
      </c>
      <c r="D124" s="18">
        <v>0.85979784805999349</v>
      </c>
      <c r="E124" t="s">
        <v>245</v>
      </c>
    </row>
    <row r="125" spans="1:5" hidden="1" x14ac:dyDescent="0.25">
      <c r="A125" t="s">
        <v>142</v>
      </c>
      <c r="B125">
        <v>1</v>
      </c>
      <c r="C125" s="19">
        <v>32000</v>
      </c>
      <c r="D125" s="18">
        <v>0.86907220229685178</v>
      </c>
      <c r="E125" t="s">
        <v>245</v>
      </c>
    </row>
    <row r="126" spans="1:5" hidden="1" x14ac:dyDescent="0.25">
      <c r="A126" t="s">
        <v>143</v>
      </c>
      <c r="B126">
        <v>1</v>
      </c>
      <c r="C126" s="19">
        <v>32000</v>
      </c>
      <c r="D126" s="18">
        <v>0.87370937941528093</v>
      </c>
      <c r="E126" t="s">
        <v>245</v>
      </c>
    </row>
    <row r="127" spans="1:5" hidden="1" x14ac:dyDescent="0.25">
      <c r="A127" t="s">
        <v>144</v>
      </c>
      <c r="B127">
        <v>1</v>
      </c>
      <c r="C127" s="19">
        <v>32000</v>
      </c>
      <c r="D127" s="18">
        <v>0.87602796797449556</v>
      </c>
      <c r="E127" t="s">
        <v>245</v>
      </c>
    </row>
    <row r="128" spans="1:5" hidden="1" x14ac:dyDescent="0.25">
      <c r="A128" t="s">
        <v>151</v>
      </c>
      <c r="B128">
        <v>1</v>
      </c>
      <c r="C128" s="19">
        <v>32000</v>
      </c>
      <c r="D128" s="18">
        <v>0.86443502517842263</v>
      </c>
      <c r="E128" t="s">
        <v>245</v>
      </c>
    </row>
    <row r="129" spans="1:5" hidden="1" x14ac:dyDescent="0.25">
      <c r="A129" t="s">
        <v>156</v>
      </c>
      <c r="B129">
        <v>1</v>
      </c>
      <c r="C129" s="19">
        <v>32000</v>
      </c>
      <c r="D129" s="18">
        <v>0.87139079085606641</v>
      </c>
      <c r="E129" t="s">
        <v>245</v>
      </c>
    </row>
    <row r="130" spans="1:5" hidden="1" x14ac:dyDescent="0.25">
      <c r="A130" t="s">
        <v>157</v>
      </c>
      <c r="B130">
        <v>1</v>
      </c>
      <c r="C130" s="19">
        <v>32000</v>
      </c>
      <c r="D130" s="18">
        <v>0.862116436619208</v>
      </c>
      <c r="E130" t="s">
        <v>245</v>
      </c>
    </row>
    <row r="131" spans="1:5" hidden="1" x14ac:dyDescent="0.25">
      <c r="A131" t="s">
        <v>180</v>
      </c>
      <c r="B131">
        <v>1</v>
      </c>
      <c r="C131" s="19">
        <v>32000</v>
      </c>
      <c r="D131" s="18">
        <v>0.86675361373763726</v>
      </c>
      <c r="E131" t="s">
        <v>245</v>
      </c>
    </row>
    <row r="132" spans="1:5" hidden="1" x14ac:dyDescent="0.25">
      <c r="A132" t="s">
        <v>187</v>
      </c>
      <c r="B132">
        <v>2</v>
      </c>
      <c r="C132" s="19">
        <v>32000</v>
      </c>
      <c r="D132" s="18">
        <v>0.87834655653371008</v>
      </c>
      <c r="E132" t="s">
        <v>245</v>
      </c>
    </row>
    <row r="133" spans="1:5" hidden="1" x14ac:dyDescent="0.25">
      <c r="A133" t="s">
        <v>40</v>
      </c>
      <c r="B133">
        <v>5</v>
      </c>
      <c r="C133" s="19">
        <v>31000</v>
      </c>
      <c r="D133" s="18">
        <v>0.8805926892004492</v>
      </c>
      <c r="E133" t="s">
        <v>245</v>
      </c>
    </row>
    <row r="134" spans="1:5" hidden="1" x14ac:dyDescent="0.25">
      <c r="A134" t="s">
        <v>57</v>
      </c>
      <c r="B134">
        <v>4</v>
      </c>
      <c r="C134" s="19">
        <v>30000</v>
      </c>
      <c r="D134" s="18">
        <v>0.90450313371734958</v>
      </c>
      <c r="E134" t="s">
        <v>245</v>
      </c>
    </row>
    <row r="135" spans="1:5" hidden="1" x14ac:dyDescent="0.25">
      <c r="A135" t="s">
        <v>71</v>
      </c>
      <c r="B135">
        <v>1</v>
      </c>
      <c r="C135" s="19">
        <v>30000</v>
      </c>
      <c r="D135" s="18">
        <v>0.88494004274897653</v>
      </c>
      <c r="E135" t="s">
        <v>245</v>
      </c>
    </row>
    <row r="136" spans="1:5" hidden="1" x14ac:dyDescent="0.25">
      <c r="A136" t="s">
        <v>87</v>
      </c>
      <c r="B136">
        <v>1</v>
      </c>
      <c r="C136" s="19">
        <v>30000</v>
      </c>
      <c r="D136" s="18">
        <v>0.88928739629750386</v>
      </c>
      <c r="E136" t="s">
        <v>245</v>
      </c>
    </row>
    <row r="137" spans="1:5" hidden="1" x14ac:dyDescent="0.25">
      <c r="A137" t="s">
        <v>115</v>
      </c>
      <c r="B137">
        <v>1</v>
      </c>
      <c r="C137" s="19">
        <v>30000</v>
      </c>
      <c r="D137" s="18">
        <v>0.89146107307176758</v>
      </c>
      <c r="E137" t="s">
        <v>245</v>
      </c>
    </row>
    <row r="138" spans="1:5" hidden="1" x14ac:dyDescent="0.25">
      <c r="A138" t="s">
        <v>134</v>
      </c>
      <c r="B138">
        <v>2</v>
      </c>
      <c r="C138" s="19">
        <v>30000</v>
      </c>
      <c r="D138" s="18">
        <v>0.89580842662029492</v>
      </c>
      <c r="E138" t="s">
        <v>245</v>
      </c>
    </row>
    <row r="139" spans="1:5" hidden="1" x14ac:dyDescent="0.25">
      <c r="A139" t="s">
        <v>139</v>
      </c>
      <c r="B139">
        <v>1</v>
      </c>
      <c r="C139" s="19">
        <v>30000</v>
      </c>
      <c r="D139" s="18">
        <v>0.8936347498460312</v>
      </c>
      <c r="E139" t="s">
        <v>245</v>
      </c>
    </row>
    <row r="140" spans="1:5" hidden="1" x14ac:dyDescent="0.25">
      <c r="A140" t="s">
        <v>48</v>
      </c>
      <c r="B140">
        <v>2</v>
      </c>
      <c r="C140" s="19">
        <v>30000</v>
      </c>
      <c r="D140" s="18">
        <v>0.88276636597471292</v>
      </c>
      <c r="E140" t="s">
        <v>245</v>
      </c>
    </row>
    <row r="141" spans="1:5" hidden="1" x14ac:dyDescent="0.25">
      <c r="A141" t="s">
        <v>111</v>
      </c>
      <c r="B141">
        <v>2</v>
      </c>
      <c r="C141" s="19">
        <v>30000</v>
      </c>
      <c r="D141" s="18">
        <v>0.88711371952324025</v>
      </c>
      <c r="E141" t="s">
        <v>245</v>
      </c>
    </row>
    <row r="142" spans="1:5" hidden="1" x14ac:dyDescent="0.25">
      <c r="A142" t="s">
        <v>170</v>
      </c>
      <c r="B142">
        <v>10</v>
      </c>
      <c r="C142" s="19">
        <v>30000</v>
      </c>
      <c r="D142" s="18">
        <v>0.89798210339455853</v>
      </c>
      <c r="E142" t="s">
        <v>245</v>
      </c>
    </row>
    <row r="143" spans="1:5" hidden="1" x14ac:dyDescent="0.25">
      <c r="A143" t="s">
        <v>22</v>
      </c>
      <c r="B143">
        <v>1</v>
      </c>
      <c r="C143" s="19">
        <v>30000</v>
      </c>
      <c r="D143" s="18">
        <v>0.90232945694308586</v>
      </c>
      <c r="E143" t="s">
        <v>245</v>
      </c>
    </row>
    <row r="144" spans="1:5" hidden="1" x14ac:dyDescent="0.25">
      <c r="A144" t="s">
        <v>135</v>
      </c>
      <c r="B144">
        <v>1</v>
      </c>
      <c r="C144" s="19">
        <v>30000</v>
      </c>
      <c r="D144" s="18">
        <v>0.90015578016882225</v>
      </c>
      <c r="E144" t="s">
        <v>245</v>
      </c>
    </row>
    <row r="145" spans="1:5" hidden="1" x14ac:dyDescent="0.25">
      <c r="A145" t="s">
        <v>37</v>
      </c>
      <c r="B145">
        <v>3</v>
      </c>
      <c r="C145" s="19">
        <v>29000</v>
      </c>
      <c r="D145" s="18">
        <v>0.9066043545991378</v>
      </c>
      <c r="E145" t="s">
        <v>245</v>
      </c>
    </row>
    <row r="146" spans="1:5" hidden="1" x14ac:dyDescent="0.25">
      <c r="A146" t="s">
        <v>129</v>
      </c>
      <c r="B146">
        <v>2</v>
      </c>
      <c r="C146" s="19">
        <v>28000</v>
      </c>
      <c r="D146" s="18">
        <v>0.9086331195884505</v>
      </c>
      <c r="E146" t="s">
        <v>245</v>
      </c>
    </row>
    <row r="147" spans="1:5" hidden="1" x14ac:dyDescent="0.25">
      <c r="A147" t="s">
        <v>231</v>
      </c>
      <c r="B147">
        <v>1</v>
      </c>
      <c r="C147" s="19">
        <v>28000</v>
      </c>
      <c r="D147" s="18">
        <v>0.91066188457776331</v>
      </c>
      <c r="E147" t="s">
        <v>245</v>
      </c>
    </row>
    <row r="148" spans="1:5" hidden="1" x14ac:dyDescent="0.25">
      <c r="A148" t="s">
        <v>82</v>
      </c>
      <c r="B148">
        <v>1</v>
      </c>
      <c r="C148" s="19">
        <v>27000</v>
      </c>
      <c r="D148" s="18">
        <v>0.91457450277143792</v>
      </c>
      <c r="E148" t="s">
        <v>245</v>
      </c>
    </row>
    <row r="149" spans="1:5" hidden="1" x14ac:dyDescent="0.25">
      <c r="A149" t="s">
        <v>161</v>
      </c>
      <c r="B149">
        <v>1</v>
      </c>
      <c r="C149" s="19">
        <v>27000</v>
      </c>
      <c r="D149" s="18">
        <v>0.91261819367460062</v>
      </c>
      <c r="E149" t="s">
        <v>245</v>
      </c>
    </row>
    <row r="150" spans="1:5" hidden="1" x14ac:dyDescent="0.25">
      <c r="A150" t="s">
        <v>97</v>
      </c>
      <c r="B150">
        <v>1</v>
      </c>
      <c r="C150" s="19">
        <v>26000</v>
      </c>
      <c r="D150" s="18">
        <v>0.91645835597579972</v>
      </c>
      <c r="E150" t="s">
        <v>245</v>
      </c>
    </row>
    <row r="151" spans="1:5" hidden="1" x14ac:dyDescent="0.25">
      <c r="A151" t="s">
        <v>64</v>
      </c>
      <c r="B151">
        <v>1</v>
      </c>
      <c r="C151" s="19">
        <v>25000</v>
      </c>
      <c r="D151" s="18">
        <v>0.92551534253523171</v>
      </c>
      <c r="E151" t="s">
        <v>245</v>
      </c>
    </row>
    <row r="152" spans="1:5" hidden="1" x14ac:dyDescent="0.25">
      <c r="A152" t="s">
        <v>116</v>
      </c>
      <c r="B152">
        <v>1</v>
      </c>
      <c r="C152" s="19">
        <v>25000</v>
      </c>
      <c r="D152" s="18">
        <v>0.91826975328768612</v>
      </c>
      <c r="E152" t="s">
        <v>245</v>
      </c>
    </row>
    <row r="153" spans="1:5" hidden="1" x14ac:dyDescent="0.25">
      <c r="A153" t="s">
        <v>130</v>
      </c>
      <c r="B153">
        <v>1</v>
      </c>
      <c r="C153" s="19">
        <v>25000</v>
      </c>
      <c r="D153" s="18">
        <v>0.93094953447089079</v>
      </c>
      <c r="E153" t="s">
        <v>245</v>
      </c>
    </row>
    <row r="154" spans="1:5" hidden="1" x14ac:dyDescent="0.25">
      <c r="A154" t="s">
        <v>132</v>
      </c>
      <c r="B154">
        <v>1</v>
      </c>
      <c r="C154" s="19">
        <v>25000</v>
      </c>
      <c r="D154" s="18">
        <v>0.92189254791145891</v>
      </c>
      <c r="E154" t="s">
        <v>245</v>
      </c>
    </row>
    <row r="155" spans="1:5" hidden="1" x14ac:dyDescent="0.25">
      <c r="A155" t="s">
        <v>122</v>
      </c>
      <c r="B155">
        <v>1</v>
      </c>
      <c r="C155" s="19">
        <v>25000</v>
      </c>
      <c r="D155" s="18">
        <v>0.92370394522334531</v>
      </c>
      <c r="E155" t="s">
        <v>245</v>
      </c>
    </row>
    <row r="156" spans="1:5" hidden="1" x14ac:dyDescent="0.25">
      <c r="A156" t="s">
        <v>177</v>
      </c>
      <c r="B156">
        <v>1</v>
      </c>
      <c r="C156" s="19">
        <v>25000</v>
      </c>
      <c r="D156" s="18">
        <v>0.92913813715900451</v>
      </c>
      <c r="E156" t="s">
        <v>245</v>
      </c>
    </row>
    <row r="157" spans="1:5" hidden="1" x14ac:dyDescent="0.25">
      <c r="A157" t="s">
        <v>196</v>
      </c>
      <c r="B157">
        <v>1</v>
      </c>
      <c r="C157" s="19">
        <v>25000</v>
      </c>
      <c r="D157" s="18">
        <v>0.93276093178277719</v>
      </c>
      <c r="E157" t="s">
        <v>245</v>
      </c>
    </row>
    <row r="158" spans="1:5" hidden="1" x14ac:dyDescent="0.25">
      <c r="A158" t="s">
        <v>197</v>
      </c>
      <c r="B158">
        <v>1</v>
      </c>
      <c r="C158" s="19">
        <v>25000</v>
      </c>
      <c r="D158" s="18">
        <v>0.92732673984711811</v>
      </c>
      <c r="E158" t="s">
        <v>245</v>
      </c>
    </row>
    <row r="159" spans="1:5" hidden="1" x14ac:dyDescent="0.25">
      <c r="A159" t="s">
        <v>226</v>
      </c>
      <c r="B159">
        <v>1</v>
      </c>
      <c r="C159" s="19">
        <v>25000</v>
      </c>
      <c r="D159" s="18">
        <v>0.92008115059957252</v>
      </c>
      <c r="E159" t="s">
        <v>245</v>
      </c>
    </row>
    <row r="160" spans="1:5" hidden="1" x14ac:dyDescent="0.25">
      <c r="A160" t="s">
        <v>47</v>
      </c>
      <c r="B160">
        <v>3</v>
      </c>
      <c r="C160" s="19">
        <v>24000</v>
      </c>
      <c r="D160" s="18">
        <v>0.93797775604101008</v>
      </c>
      <c r="E160" t="s">
        <v>245</v>
      </c>
    </row>
    <row r="161" spans="1:5" hidden="1" x14ac:dyDescent="0.25">
      <c r="A161" t="s">
        <v>91</v>
      </c>
      <c r="B161">
        <v>2</v>
      </c>
      <c r="C161" s="19">
        <v>24000</v>
      </c>
      <c r="D161" s="18">
        <v>0.93449987320218819</v>
      </c>
      <c r="E161" t="s">
        <v>245</v>
      </c>
    </row>
    <row r="162" spans="1:5" hidden="1" x14ac:dyDescent="0.25">
      <c r="A162" t="s">
        <v>94</v>
      </c>
      <c r="B162">
        <v>2</v>
      </c>
      <c r="C162" s="19">
        <v>24000</v>
      </c>
      <c r="D162" s="18">
        <v>0.93623881462159908</v>
      </c>
      <c r="E162" t="s">
        <v>245</v>
      </c>
    </row>
    <row r="163" spans="1:5" hidden="1" x14ac:dyDescent="0.25">
      <c r="A163" t="s">
        <v>54</v>
      </c>
      <c r="B163">
        <v>2</v>
      </c>
      <c r="C163" s="19">
        <v>22000</v>
      </c>
      <c r="D163" s="18">
        <v>0.94275984494439014</v>
      </c>
      <c r="E163" t="s">
        <v>245</v>
      </c>
    </row>
    <row r="164" spans="1:5" hidden="1" x14ac:dyDescent="0.25">
      <c r="A164" t="s">
        <v>33</v>
      </c>
      <c r="B164">
        <v>2</v>
      </c>
      <c r="C164" s="19">
        <v>22000</v>
      </c>
      <c r="D164" s="18">
        <v>0.93957178567547006</v>
      </c>
      <c r="E164" t="s">
        <v>245</v>
      </c>
    </row>
    <row r="165" spans="1:5" hidden="1" x14ac:dyDescent="0.25">
      <c r="A165" t="s">
        <v>207</v>
      </c>
      <c r="B165">
        <v>1</v>
      </c>
      <c r="C165" s="19">
        <v>22000</v>
      </c>
      <c r="D165" s="18">
        <v>0.94116581530993004</v>
      </c>
      <c r="E165" t="s">
        <v>245</v>
      </c>
    </row>
    <row r="166" spans="1:5" hidden="1" x14ac:dyDescent="0.25">
      <c r="A166" t="s">
        <v>44</v>
      </c>
      <c r="B166">
        <v>2</v>
      </c>
      <c r="C166" s="19">
        <v>20000</v>
      </c>
      <c r="D166" s="18">
        <v>0.95000543419193562</v>
      </c>
      <c r="E166" t="s">
        <v>246</v>
      </c>
    </row>
    <row r="167" spans="1:5" hidden="1" x14ac:dyDescent="0.25">
      <c r="A167" t="s">
        <v>167</v>
      </c>
      <c r="B167">
        <v>2</v>
      </c>
      <c r="C167" s="19">
        <v>20000</v>
      </c>
      <c r="D167" s="18">
        <v>0.95435278774046295</v>
      </c>
      <c r="E167" t="s">
        <v>246</v>
      </c>
    </row>
    <row r="168" spans="1:5" hidden="1" x14ac:dyDescent="0.25">
      <c r="A168" t="s">
        <v>171</v>
      </c>
      <c r="B168">
        <v>1</v>
      </c>
      <c r="C168" s="19">
        <v>20000</v>
      </c>
      <c r="D168" s="18">
        <v>0.9514545520414448</v>
      </c>
      <c r="E168" t="s">
        <v>246</v>
      </c>
    </row>
    <row r="169" spans="1:5" hidden="1" x14ac:dyDescent="0.25">
      <c r="A169" t="s">
        <v>189</v>
      </c>
      <c r="B169">
        <v>2</v>
      </c>
      <c r="C169" s="19">
        <v>20000</v>
      </c>
      <c r="D169" s="18">
        <v>0.94710719849291747</v>
      </c>
      <c r="E169" t="s">
        <v>245</v>
      </c>
    </row>
    <row r="170" spans="1:5" hidden="1" x14ac:dyDescent="0.25">
      <c r="A170" t="s">
        <v>192</v>
      </c>
      <c r="B170">
        <v>1</v>
      </c>
      <c r="C170" s="19">
        <v>20000</v>
      </c>
      <c r="D170" s="18">
        <v>0.94565808064340828</v>
      </c>
      <c r="E170" t="s">
        <v>245</v>
      </c>
    </row>
    <row r="171" spans="1:5" hidden="1" x14ac:dyDescent="0.25">
      <c r="A171" t="s">
        <v>154</v>
      </c>
      <c r="B171">
        <v>1</v>
      </c>
      <c r="C171" s="19">
        <v>20000</v>
      </c>
      <c r="D171" s="18">
        <v>0.94855631634242654</v>
      </c>
      <c r="E171" t="s">
        <v>245</v>
      </c>
    </row>
    <row r="172" spans="1:5" hidden="1" x14ac:dyDescent="0.25">
      <c r="A172" t="s">
        <v>224</v>
      </c>
      <c r="B172">
        <v>1</v>
      </c>
      <c r="C172" s="19">
        <v>20000</v>
      </c>
      <c r="D172" s="18">
        <v>0.94420896279389921</v>
      </c>
      <c r="E172" t="s">
        <v>245</v>
      </c>
    </row>
    <row r="173" spans="1:5" hidden="1" x14ac:dyDescent="0.25">
      <c r="A173" t="s">
        <v>166</v>
      </c>
      <c r="B173">
        <v>1</v>
      </c>
      <c r="C173" s="19">
        <v>20000</v>
      </c>
      <c r="D173" s="18">
        <v>0.95290366989095387</v>
      </c>
      <c r="E173" t="s">
        <v>246</v>
      </c>
    </row>
    <row r="174" spans="1:5" hidden="1" x14ac:dyDescent="0.25">
      <c r="A174" t="s">
        <v>229</v>
      </c>
      <c r="B174">
        <v>1</v>
      </c>
      <c r="C174" s="19">
        <v>20000</v>
      </c>
      <c r="D174" s="18">
        <v>0.95580190558997213</v>
      </c>
      <c r="E174" t="s">
        <v>246</v>
      </c>
    </row>
    <row r="175" spans="1:5" hidden="1" x14ac:dyDescent="0.25">
      <c r="A175" t="s">
        <v>27</v>
      </c>
      <c r="B175">
        <v>1</v>
      </c>
      <c r="C175" s="19">
        <v>17000</v>
      </c>
      <c r="D175" s="18">
        <v>0.9607289062783031</v>
      </c>
      <c r="E175" t="s">
        <v>246</v>
      </c>
    </row>
    <row r="176" spans="1:5" hidden="1" x14ac:dyDescent="0.25">
      <c r="A176" t="s">
        <v>101</v>
      </c>
      <c r="B176">
        <v>1</v>
      </c>
      <c r="C176" s="19">
        <v>17000</v>
      </c>
      <c r="D176" s="18">
        <v>0.96196065645038586</v>
      </c>
      <c r="E176" t="s">
        <v>246</v>
      </c>
    </row>
    <row r="177" spans="1:5" hidden="1" x14ac:dyDescent="0.25">
      <c r="A177" t="s">
        <v>102</v>
      </c>
      <c r="B177">
        <v>1</v>
      </c>
      <c r="C177" s="19">
        <v>17000</v>
      </c>
      <c r="D177" s="18">
        <v>0.96565590696663406</v>
      </c>
      <c r="E177" t="s">
        <v>246</v>
      </c>
    </row>
    <row r="178" spans="1:5" hidden="1" x14ac:dyDescent="0.25">
      <c r="A178" t="s">
        <v>120</v>
      </c>
      <c r="B178">
        <v>1</v>
      </c>
      <c r="C178" s="19">
        <v>17000</v>
      </c>
      <c r="D178" s="18">
        <v>0.96442415679455129</v>
      </c>
      <c r="E178" t="s">
        <v>246</v>
      </c>
    </row>
    <row r="179" spans="1:5" hidden="1" x14ac:dyDescent="0.25">
      <c r="A179" t="s">
        <v>121</v>
      </c>
      <c r="B179">
        <v>1</v>
      </c>
      <c r="C179" s="19">
        <v>17000</v>
      </c>
      <c r="D179" s="18">
        <v>0.95826540593413756</v>
      </c>
      <c r="E179" t="s">
        <v>246</v>
      </c>
    </row>
    <row r="180" spans="1:5" hidden="1" x14ac:dyDescent="0.25">
      <c r="A180" t="s">
        <v>165</v>
      </c>
      <c r="B180">
        <v>1</v>
      </c>
      <c r="C180" s="19">
        <v>17000</v>
      </c>
      <c r="D180" s="18">
        <v>0.95949715610622033</v>
      </c>
      <c r="E180" t="s">
        <v>246</v>
      </c>
    </row>
    <row r="181" spans="1:5" hidden="1" x14ac:dyDescent="0.25">
      <c r="A181" t="s">
        <v>193</v>
      </c>
      <c r="B181">
        <v>1</v>
      </c>
      <c r="C181" s="19">
        <v>17000</v>
      </c>
      <c r="D181" s="18">
        <v>0.9570336557620549</v>
      </c>
      <c r="E181" t="s">
        <v>246</v>
      </c>
    </row>
    <row r="182" spans="1:5" hidden="1" x14ac:dyDescent="0.25">
      <c r="A182" t="s">
        <v>200</v>
      </c>
      <c r="B182">
        <v>2</v>
      </c>
      <c r="C182" s="19">
        <v>17000</v>
      </c>
      <c r="D182" s="18">
        <v>0.96319240662246852</v>
      </c>
      <c r="E182" t="s">
        <v>246</v>
      </c>
    </row>
    <row r="183" spans="1:5" hidden="1" x14ac:dyDescent="0.25">
      <c r="A183" t="s">
        <v>211</v>
      </c>
      <c r="B183">
        <v>1</v>
      </c>
      <c r="C183" s="19">
        <v>17000</v>
      </c>
      <c r="D183" s="18">
        <v>0.96688765713871683</v>
      </c>
      <c r="E183" t="s">
        <v>246</v>
      </c>
    </row>
    <row r="184" spans="1:5" hidden="1" x14ac:dyDescent="0.25">
      <c r="A184" t="s">
        <v>55</v>
      </c>
      <c r="B184">
        <v>1</v>
      </c>
      <c r="C184" s="19">
        <v>15000</v>
      </c>
      <c r="D184" s="18">
        <v>0.97232184907437602</v>
      </c>
      <c r="E184" t="s">
        <v>246</v>
      </c>
    </row>
    <row r="185" spans="1:5" hidden="1" x14ac:dyDescent="0.25">
      <c r="A185" t="s">
        <v>68</v>
      </c>
      <c r="B185">
        <v>1</v>
      </c>
      <c r="C185" s="19">
        <v>15000</v>
      </c>
      <c r="D185" s="18">
        <v>0.97666920262290335</v>
      </c>
      <c r="E185" t="s">
        <v>246</v>
      </c>
    </row>
    <row r="186" spans="1:5" hidden="1" x14ac:dyDescent="0.25">
      <c r="A186" t="s">
        <v>81</v>
      </c>
      <c r="B186">
        <v>1</v>
      </c>
      <c r="C186" s="19">
        <v>15000</v>
      </c>
      <c r="D186" s="18">
        <v>0.9701481723001123</v>
      </c>
      <c r="E186" t="s">
        <v>246</v>
      </c>
    </row>
    <row r="187" spans="1:5" hidden="1" x14ac:dyDescent="0.25">
      <c r="A187" t="s">
        <v>119</v>
      </c>
      <c r="B187">
        <v>1</v>
      </c>
      <c r="C187" s="19">
        <v>15000</v>
      </c>
      <c r="D187" s="18">
        <v>0.97449552584863963</v>
      </c>
      <c r="E187" t="s">
        <v>246</v>
      </c>
    </row>
    <row r="188" spans="1:5" hidden="1" x14ac:dyDescent="0.25">
      <c r="A188" t="s">
        <v>78</v>
      </c>
      <c r="B188">
        <v>1</v>
      </c>
      <c r="C188" s="19">
        <v>15000</v>
      </c>
      <c r="D188" s="18">
        <v>0.96797449552584869</v>
      </c>
      <c r="E188" t="s">
        <v>246</v>
      </c>
    </row>
    <row r="189" spans="1:5" hidden="1" x14ac:dyDescent="0.25">
      <c r="A189" t="s">
        <v>147</v>
      </c>
      <c r="B189">
        <v>1</v>
      </c>
      <c r="C189" s="19">
        <v>15000</v>
      </c>
      <c r="D189" s="18">
        <v>0.97884287939716697</v>
      </c>
      <c r="E189" t="s">
        <v>246</v>
      </c>
    </row>
    <row r="190" spans="1:5" hidden="1" x14ac:dyDescent="0.25">
      <c r="A190" t="s">
        <v>148</v>
      </c>
      <c r="B190">
        <v>1</v>
      </c>
      <c r="C190" s="19">
        <v>15000</v>
      </c>
      <c r="D190" s="18">
        <v>0.97558236423577149</v>
      </c>
      <c r="E190" t="s">
        <v>246</v>
      </c>
    </row>
    <row r="191" spans="1:5" hidden="1" x14ac:dyDescent="0.25">
      <c r="A191" t="s">
        <v>153</v>
      </c>
      <c r="B191">
        <v>1</v>
      </c>
      <c r="C191" s="19">
        <v>15000</v>
      </c>
      <c r="D191" s="18">
        <v>0.96906133391298044</v>
      </c>
      <c r="E191" t="s">
        <v>246</v>
      </c>
    </row>
    <row r="192" spans="1:5" hidden="1" x14ac:dyDescent="0.25">
      <c r="A192" t="s">
        <v>23</v>
      </c>
      <c r="B192">
        <v>1</v>
      </c>
      <c r="C192" s="19">
        <v>15000</v>
      </c>
      <c r="D192" s="18">
        <v>0.9777560410100351</v>
      </c>
      <c r="E192" t="s">
        <v>246</v>
      </c>
    </row>
    <row r="193" spans="1:5" hidden="1" x14ac:dyDescent="0.25">
      <c r="A193" t="s">
        <v>210</v>
      </c>
      <c r="B193">
        <v>1</v>
      </c>
      <c r="C193" s="19">
        <v>15000</v>
      </c>
      <c r="D193" s="18">
        <v>0.97123501068724416</v>
      </c>
      <c r="E193" t="s">
        <v>246</v>
      </c>
    </row>
    <row r="194" spans="1:5" hidden="1" x14ac:dyDescent="0.25">
      <c r="A194" t="s">
        <v>227</v>
      </c>
      <c r="B194">
        <v>1</v>
      </c>
      <c r="C194" s="19">
        <v>15000</v>
      </c>
      <c r="D194" s="18">
        <v>0.97340868746150777</v>
      </c>
      <c r="E194" t="s">
        <v>246</v>
      </c>
    </row>
    <row r="195" spans="1:5" hidden="1" x14ac:dyDescent="0.25">
      <c r="A195" t="s">
        <v>46</v>
      </c>
      <c r="B195">
        <v>2</v>
      </c>
      <c r="C195" s="19">
        <v>14000</v>
      </c>
      <c r="D195" s="18">
        <v>0.97985726189182332</v>
      </c>
      <c r="E195" t="s">
        <v>246</v>
      </c>
    </row>
    <row r="196" spans="1:5" hidden="1" x14ac:dyDescent="0.25">
      <c r="A196" t="s">
        <v>73</v>
      </c>
      <c r="B196">
        <v>1</v>
      </c>
      <c r="C196" s="19">
        <v>13000</v>
      </c>
      <c r="D196" s="18">
        <v>0.98079918849400427</v>
      </c>
      <c r="E196" t="s">
        <v>246</v>
      </c>
    </row>
    <row r="197" spans="1:5" hidden="1" x14ac:dyDescent="0.25">
      <c r="A197" t="s">
        <v>49</v>
      </c>
      <c r="B197">
        <v>1</v>
      </c>
      <c r="C197" s="19">
        <v>12000</v>
      </c>
      <c r="D197" s="18">
        <v>0.98427707133282616</v>
      </c>
      <c r="E197" t="s">
        <v>246</v>
      </c>
    </row>
    <row r="198" spans="1:5" hidden="1" x14ac:dyDescent="0.25">
      <c r="A198" t="s">
        <v>50</v>
      </c>
      <c r="B198">
        <v>1</v>
      </c>
      <c r="C198" s="19">
        <v>12000</v>
      </c>
      <c r="D198" s="18">
        <v>0.98775495417164805</v>
      </c>
      <c r="E198" t="s">
        <v>246</v>
      </c>
    </row>
    <row r="199" spans="1:5" hidden="1" x14ac:dyDescent="0.25">
      <c r="A199" t="s">
        <v>52</v>
      </c>
      <c r="B199">
        <v>1</v>
      </c>
      <c r="C199" s="19">
        <v>12000</v>
      </c>
      <c r="D199" s="18">
        <v>0.9851465420425316</v>
      </c>
      <c r="E199" t="s">
        <v>246</v>
      </c>
    </row>
    <row r="200" spans="1:5" hidden="1" x14ac:dyDescent="0.25">
      <c r="A200" t="s">
        <v>92</v>
      </c>
      <c r="B200">
        <v>1</v>
      </c>
      <c r="C200" s="19">
        <v>12000</v>
      </c>
      <c r="D200" s="18">
        <v>0.98862442488135349</v>
      </c>
      <c r="E200" t="s">
        <v>246</v>
      </c>
    </row>
    <row r="201" spans="1:5" hidden="1" x14ac:dyDescent="0.25">
      <c r="A201" t="s">
        <v>117</v>
      </c>
      <c r="B201">
        <v>1</v>
      </c>
      <c r="C201" s="19">
        <v>12000</v>
      </c>
      <c r="D201" s="18">
        <v>0.98688548346194249</v>
      </c>
      <c r="E201" t="s">
        <v>246</v>
      </c>
    </row>
    <row r="202" spans="1:5" hidden="1" x14ac:dyDescent="0.25">
      <c r="A202" t="s">
        <v>125</v>
      </c>
      <c r="B202">
        <v>1</v>
      </c>
      <c r="C202" s="19">
        <v>12000</v>
      </c>
      <c r="D202" s="18">
        <v>0.98340760062312071</v>
      </c>
      <c r="E202" t="s">
        <v>246</v>
      </c>
    </row>
    <row r="203" spans="1:5" hidden="1" x14ac:dyDescent="0.25">
      <c r="A203" t="s">
        <v>141</v>
      </c>
      <c r="B203">
        <v>1</v>
      </c>
      <c r="C203" s="19">
        <v>12000</v>
      </c>
      <c r="D203" s="18">
        <v>0.98166865920370971</v>
      </c>
      <c r="E203" t="s">
        <v>246</v>
      </c>
    </row>
    <row r="204" spans="1:5" hidden="1" x14ac:dyDescent="0.25">
      <c r="A204" t="s">
        <v>164</v>
      </c>
      <c r="B204">
        <v>1</v>
      </c>
      <c r="C204" s="19">
        <v>12000</v>
      </c>
      <c r="D204" s="18">
        <v>0.98253812991341516</v>
      </c>
      <c r="E204" t="s">
        <v>246</v>
      </c>
    </row>
    <row r="205" spans="1:5" hidden="1" x14ac:dyDescent="0.25">
      <c r="A205" t="s">
        <v>201</v>
      </c>
      <c r="B205">
        <v>1</v>
      </c>
      <c r="C205" s="19">
        <v>12000</v>
      </c>
      <c r="D205" s="18">
        <v>0.98601601275223705</v>
      </c>
      <c r="E205" t="s">
        <v>246</v>
      </c>
    </row>
    <row r="206" spans="1:5" hidden="1" x14ac:dyDescent="0.25">
      <c r="A206" t="s">
        <v>41</v>
      </c>
      <c r="B206">
        <v>1</v>
      </c>
      <c r="C206" s="19">
        <v>10000</v>
      </c>
      <c r="D206" s="18">
        <v>0.99224721950512629</v>
      </c>
      <c r="E206" t="s">
        <v>246</v>
      </c>
    </row>
    <row r="207" spans="1:5" hidden="1" x14ac:dyDescent="0.25">
      <c r="A207" t="s">
        <v>53</v>
      </c>
      <c r="B207">
        <v>1</v>
      </c>
      <c r="C207" s="19">
        <v>10000</v>
      </c>
      <c r="D207" s="18">
        <v>0.99007354273086257</v>
      </c>
      <c r="E207" t="s">
        <v>246</v>
      </c>
    </row>
    <row r="208" spans="1:5" hidden="1" x14ac:dyDescent="0.25">
      <c r="A208" t="s">
        <v>85</v>
      </c>
      <c r="B208">
        <v>1</v>
      </c>
      <c r="C208" s="19">
        <v>10000</v>
      </c>
      <c r="D208" s="18">
        <v>0.9907981016556171</v>
      </c>
      <c r="E208" t="s">
        <v>246</v>
      </c>
    </row>
    <row r="209" spans="1:5" hidden="1" x14ac:dyDescent="0.25">
      <c r="A209" t="s">
        <v>93</v>
      </c>
      <c r="B209">
        <v>1</v>
      </c>
      <c r="C209" s="19">
        <v>10000</v>
      </c>
      <c r="D209" s="18">
        <v>0.99369633735463536</v>
      </c>
      <c r="E209" t="s">
        <v>246</v>
      </c>
    </row>
    <row r="210" spans="1:5" hidden="1" x14ac:dyDescent="0.25">
      <c r="A210" t="s">
        <v>95</v>
      </c>
      <c r="B210">
        <v>1</v>
      </c>
      <c r="C210" s="19">
        <v>10000</v>
      </c>
      <c r="D210" s="18">
        <v>0.99659457305365362</v>
      </c>
      <c r="E210" t="s">
        <v>246</v>
      </c>
    </row>
    <row r="211" spans="1:5" hidden="1" x14ac:dyDescent="0.25">
      <c r="A211" t="s">
        <v>149</v>
      </c>
      <c r="B211">
        <v>2</v>
      </c>
      <c r="C211" s="19">
        <v>10000</v>
      </c>
      <c r="D211" s="18">
        <v>0.99152266058037175</v>
      </c>
      <c r="E211" t="s">
        <v>246</v>
      </c>
    </row>
    <row r="212" spans="1:5" hidden="1" x14ac:dyDescent="0.25">
      <c r="A212" t="s">
        <v>190</v>
      </c>
      <c r="B212">
        <v>1</v>
      </c>
      <c r="C212" s="19">
        <v>10000</v>
      </c>
      <c r="D212" s="18">
        <v>0.9944208962793899</v>
      </c>
      <c r="E212" t="s">
        <v>246</v>
      </c>
    </row>
    <row r="213" spans="1:5" hidden="1" x14ac:dyDescent="0.25">
      <c r="A213" t="s">
        <v>12</v>
      </c>
      <c r="B213">
        <v>1</v>
      </c>
      <c r="C213" s="19">
        <v>10000</v>
      </c>
      <c r="D213" s="18">
        <v>0.99587001412889908</v>
      </c>
      <c r="E213" t="s">
        <v>246</v>
      </c>
    </row>
    <row r="214" spans="1:5" hidden="1" x14ac:dyDescent="0.25">
      <c r="A214" t="s">
        <v>137</v>
      </c>
      <c r="B214">
        <v>1</v>
      </c>
      <c r="C214" s="19">
        <v>10000</v>
      </c>
      <c r="D214" s="18">
        <v>0.99804369090316269</v>
      </c>
      <c r="E214" t="s">
        <v>246</v>
      </c>
    </row>
    <row r="215" spans="1:5" hidden="1" x14ac:dyDescent="0.25">
      <c r="A215" t="s">
        <v>43</v>
      </c>
      <c r="B215">
        <v>1</v>
      </c>
      <c r="C215" s="19">
        <v>10000</v>
      </c>
      <c r="D215" s="18">
        <v>0.99297177842988082</v>
      </c>
      <c r="E215" t="s">
        <v>246</v>
      </c>
    </row>
    <row r="216" spans="1:5" hidden="1" x14ac:dyDescent="0.25">
      <c r="A216" t="s">
        <v>202</v>
      </c>
      <c r="B216">
        <v>10</v>
      </c>
      <c r="C216" s="19">
        <v>10000</v>
      </c>
      <c r="D216" s="18">
        <v>0.99731913197840816</v>
      </c>
      <c r="E216" t="s">
        <v>246</v>
      </c>
    </row>
    <row r="217" spans="1:5" hidden="1" x14ac:dyDescent="0.25">
      <c r="A217" t="s">
        <v>140</v>
      </c>
      <c r="B217">
        <v>1</v>
      </c>
      <c r="C217" s="19">
        <v>10000</v>
      </c>
      <c r="D217" s="18">
        <v>0.99514545520414444</v>
      </c>
      <c r="E217" t="s">
        <v>246</v>
      </c>
    </row>
    <row r="218" spans="1:5" hidden="1" x14ac:dyDescent="0.25">
      <c r="A218" t="s">
        <v>228</v>
      </c>
      <c r="B218">
        <v>1</v>
      </c>
      <c r="C218" s="19">
        <v>10000</v>
      </c>
      <c r="D218" s="18">
        <v>0.98934898380610803</v>
      </c>
      <c r="E218" t="s">
        <v>246</v>
      </c>
    </row>
    <row r="219" spans="1:5" hidden="1" x14ac:dyDescent="0.25">
      <c r="A219" t="s">
        <v>56</v>
      </c>
      <c r="B219">
        <v>1</v>
      </c>
      <c r="C219" s="19">
        <v>6000</v>
      </c>
      <c r="D219" s="18">
        <v>0.99847842625801542</v>
      </c>
      <c r="E219" t="s">
        <v>246</v>
      </c>
    </row>
    <row r="220" spans="1:5" hidden="1" x14ac:dyDescent="0.25">
      <c r="A220" t="s">
        <v>138</v>
      </c>
      <c r="B220">
        <v>2</v>
      </c>
      <c r="C220" s="19">
        <v>6000</v>
      </c>
      <c r="D220" s="18">
        <v>0.99891316161286814</v>
      </c>
      <c r="E220" t="s">
        <v>246</v>
      </c>
    </row>
    <row r="221" spans="1:5" hidden="1" x14ac:dyDescent="0.25">
      <c r="A221" t="s">
        <v>172</v>
      </c>
      <c r="B221">
        <v>2</v>
      </c>
      <c r="C221" s="19">
        <v>6000</v>
      </c>
      <c r="D221" s="18">
        <v>0.99934789696772086</v>
      </c>
      <c r="E221" t="s">
        <v>246</v>
      </c>
    </row>
    <row r="222" spans="1:5" hidden="1" x14ac:dyDescent="0.25">
      <c r="A222" t="s">
        <v>174</v>
      </c>
      <c r="B222">
        <v>1</v>
      </c>
      <c r="C222" s="19">
        <v>5000</v>
      </c>
      <c r="D222" s="18">
        <v>0.99971017643009819</v>
      </c>
      <c r="E222" t="s">
        <v>246</v>
      </c>
    </row>
    <row r="223" spans="1:5" hidden="1" x14ac:dyDescent="0.25">
      <c r="A223" t="s">
        <v>217</v>
      </c>
      <c r="B223">
        <v>2</v>
      </c>
      <c r="C223" s="19">
        <v>4000</v>
      </c>
      <c r="D223" s="18">
        <v>1</v>
      </c>
      <c r="E223" t="s">
        <v>246</v>
      </c>
    </row>
  </sheetData>
  <autoFilter ref="A2:E223" xr:uid="{DABA8DFF-5645-4BFC-A6D9-3A48B54471A6}">
    <filterColumn colId="4">
      <filters>
        <filter val="A"/>
      </filters>
    </filterColumn>
    <sortState xmlns:xlrd2="http://schemas.microsoft.com/office/spreadsheetml/2017/richdata2" ref="A3:E223">
      <sortCondition descending="1" ref="C2:C223"/>
    </sortState>
  </autoFilter>
  <sortState xmlns:xlrd2="http://schemas.microsoft.com/office/spreadsheetml/2017/richdata2" ref="A3:E223">
    <sortCondition ref="A2:A2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penjualan</vt:lpstr>
      <vt:lpstr>pareto_analysis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Eneng Rika Nurfauziah</cp:lastModifiedBy>
  <dcterms:modified xsi:type="dcterms:W3CDTF">2026-08-17T03:51:13Z</dcterms:modified>
</cp:coreProperties>
</file>